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rstegroup-my.sharepoint.com/personal/malsaleh_csas_cz/Documents/Pracovní/Apky/Zpětná modelace/"/>
    </mc:Choice>
  </mc:AlternateContent>
  <xr:revisionPtr revIDLastSave="76" documentId="8_{F31D7172-1253-1940-9A54-7F00E42E48C7}" xr6:coauthVersionLast="47" xr6:coauthVersionMax="47" xr10:uidLastSave="{9F9C8009-4C04-2D4D-BC2B-026BFF33C50F}"/>
  <bookViews>
    <workbookView xWindow="0" yWindow="660" windowWidth="29040" windowHeight="15840" activeTab="1" xr2:uid="{00000000-000D-0000-FFFF-FFFF00000000}"/>
  </bookViews>
  <sheets>
    <sheet name="RŘC1" sheetId="15" r:id="rId1"/>
    <sheet name="RŘC2 5+" sheetId="16" r:id="rId2"/>
    <sheet name="RŘC3 5+" sheetId="17" r:id="rId3"/>
    <sheet name="RŘC4 5+" sheetId="1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5" l="1"/>
  <c r="G15" i="15"/>
  <c r="H14" i="15"/>
  <c r="H18" i="18"/>
  <c r="H18" i="17"/>
  <c r="H15" i="16"/>
  <c r="H14" i="18" l="1"/>
  <c r="H14" i="17"/>
  <c r="G19" i="18"/>
  <c r="H13" i="18"/>
  <c r="H12" i="18"/>
  <c r="H11" i="18"/>
  <c r="H9" i="18"/>
  <c r="H8" i="18"/>
  <c r="H7" i="18"/>
  <c r="H6" i="18"/>
  <c r="H5" i="18"/>
  <c r="H8" i="17"/>
  <c r="H7" i="17"/>
  <c r="H6" i="17"/>
  <c r="H9" i="17"/>
  <c r="G19" i="17"/>
  <c r="H13" i="17"/>
  <c r="H12" i="17"/>
  <c r="H11" i="17"/>
  <c r="H5" i="17"/>
  <c r="H11" i="16"/>
  <c r="H5" i="16"/>
  <c r="H10" i="16"/>
  <c r="H9" i="16"/>
  <c r="H7" i="16"/>
  <c r="H6" i="16"/>
  <c r="G16" i="16"/>
  <c r="H19" i="17" l="1"/>
  <c r="H16" i="16"/>
  <c r="H19" i="18"/>
</calcChain>
</file>

<file path=xl/sharedStrings.xml><?xml version="1.0" encoding="utf-8"?>
<sst xmlns="http://schemas.openxmlformats.org/spreadsheetml/2006/main" count="117" uniqueCount="48">
  <si>
    <t>Doporučená alokace aktiv pro RŘC1 - Investiční horizont:  3 roky</t>
  </si>
  <si>
    <t>ISIN</t>
  </si>
  <si>
    <t>Váha</t>
  </si>
  <si>
    <t>Částka USD</t>
  </si>
  <si>
    <t>ÚROKOVÁ SLOŽKA</t>
  </si>
  <si>
    <t>Nástroje peněžního trhu a krátkodobé dluhopisy</t>
  </si>
  <si>
    <t>Portfolio celkem</t>
  </si>
  <si>
    <t>Celková částka v USD</t>
  </si>
  <si>
    <t>BNP Paribas Funds USD Money Market</t>
  </si>
  <si>
    <t>LU0012186622</t>
  </si>
  <si>
    <t>Doporučená alokace aktiv pro RŘC2 - Investiční horizont:  5 let a déle</t>
  </si>
  <si>
    <t>Státní dluhopisy</t>
  </si>
  <si>
    <t>Franklin U.S. Government Fund USD</t>
  </si>
  <si>
    <t>LU0543330301</t>
  </si>
  <si>
    <t>Korporátní dluhopisy na investičním stupni</t>
  </si>
  <si>
    <t>BNP Paribas Funds Sustainable Global Corporate Bond</t>
  </si>
  <si>
    <t>LU0282388437</t>
  </si>
  <si>
    <t>AKCIOVÁ SLOŽKA</t>
  </si>
  <si>
    <t>Akcie vyspělé trhy globální</t>
  </si>
  <si>
    <t>ERSTE RESPONSIBLE STOCK AMERICA (VT) USD</t>
  </si>
  <si>
    <t>AT0000673371</t>
  </si>
  <si>
    <t>Fidelity Funds - Global Dividend Fund A-ACC-USD</t>
  </si>
  <si>
    <t>LU0772969993</t>
  </si>
  <si>
    <t>Akcie rozvíjející se trhy</t>
  </si>
  <si>
    <t>ALTERNATIVNÍ SLOŽKA</t>
  </si>
  <si>
    <t>Reality</t>
  </si>
  <si>
    <t>Komodity</t>
  </si>
  <si>
    <t>Alternativní strategie</t>
  </si>
  <si>
    <t>BNP Paribas Flexi I Commodities</t>
  </si>
  <si>
    <t>LU1931956285</t>
  </si>
  <si>
    <t>Modelové portfolio pro Rizikovost řešení cíle 3 v USD - platné od 13. května 2023</t>
  </si>
  <si>
    <t>Doporučená alokace aktiv pro RŘC3 - Investiční horizont:  5 let a déle</t>
  </si>
  <si>
    <t>High Yield dluhopisy</t>
  </si>
  <si>
    <t xml:space="preserve">Fidelity Funds - Global High Yield Fund A-ACC-USD </t>
  </si>
  <si>
    <t>LU0740037022</t>
  </si>
  <si>
    <t>Emerging markets dluhopisy</t>
  </si>
  <si>
    <t>Fidelity Funds - Emerging Market Corporate Debt Fund A-ACC-USD</t>
  </si>
  <si>
    <t>LU0900495697</t>
  </si>
  <si>
    <t>Akcie rozvíjející se trhy CEE</t>
  </si>
  <si>
    <t>Modelové portfolio pro Rizikovost řešení cíle 4 v USD - platné od 1. května 2023</t>
  </si>
  <si>
    <t>Doporučená alokace aktiv pro RŘC4 - Investiční horizont:  5 let a déle</t>
  </si>
  <si>
    <t xml:space="preserve">Modelové portfolio pro Rizikovost řešení cíle 1 v USD </t>
  </si>
  <si>
    <t>Modelové portfolio pro Rizikovost řešení cíle 2 v USD</t>
  </si>
  <si>
    <t>celkem ve třídě 20%</t>
  </si>
  <si>
    <t>celkem ve třídě 70%</t>
  </si>
  <si>
    <t>celkem ve třídě 10%</t>
  </si>
  <si>
    <t>celkem ve třídě 50%</t>
  </si>
  <si>
    <t>celkem ve třídě 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</si>
</sst>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charset val="238"/>
    </font>
    <font>
      <sz val="10"/>
      <name val="Arial"/>
      <family val="2"/>
      <charset val="238"/>
    </font>
    <font>
      <b/>
      <sz val="8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0"/>
      <color indexed="9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9" fontId="2" fillId="0" borderId="7" xfId="0" applyNumberFormat="1" applyFont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3" fillId="0" borderId="0" xfId="0" applyFont="1"/>
    <xf numFmtId="0" fontId="4" fillId="2" borderId="5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9" fontId="2" fillId="0" borderId="11" xfId="0" applyNumberFormat="1" applyFont="1" applyBorder="1" applyAlignment="1">
      <alignment horizontal="center" vertical="center"/>
    </xf>
    <xf numFmtId="0" fontId="5" fillId="5" borderId="8" xfId="0" applyFont="1" applyFill="1" applyBorder="1" applyAlignment="1">
      <alignment vertical="center"/>
    </xf>
    <xf numFmtId="0" fontId="2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vertical="center"/>
    </xf>
    <xf numFmtId="9" fontId="2" fillId="6" borderId="11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7" fillId="0" borderId="0" xfId="0" applyFont="1"/>
    <xf numFmtId="0" fontId="2" fillId="0" borderId="8" xfId="0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9" fontId="2" fillId="0" borderId="14" xfId="0" applyNumberFormat="1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9" fontId="2" fillId="0" borderId="12" xfId="0" applyNumberFormat="1" applyFont="1" applyBorder="1" applyAlignment="1">
      <alignment horizontal="center" vertical="center"/>
    </xf>
    <xf numFmtId="0" fontId="1" fillId="0" borderId="0" xfId="0" applyFont="1"/>
    <xf numFmtId="0" fontId="9" fillId="7" borderId="0" xfId="0" applyFont="1" applyFill="1" applyAlignment="1">
      <alignment horizontal="left" vertical="center"/>
    </xf>
    <xf numFmtId="3" fontId="9" fillId="7" borderId="0" xfId="0" applyNumberFormat="1" applyFont="1" applyFill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6" fillId="0" borderId="22" xfId="0" applyFont="1" applyBorder="1" applyAlignment="1">
      <alignment horizontal="center" vertical="center"/>
    </xf>
    <xf numFmtId="9" fontId="2" fillId="0" borderId="22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0" fontId="2" fillId="3" borderId="23" xfId="0" applyFont="1" applyFill="1" applyBorder="1" applyAlignment="1">
      <alignment vertical="center"/>
    </xf>
    <xf numFmtId="0" fontId="2" fillId="4" borderId="23" xfId="0" applyFont="1" applyFill="1" applyBorder="1" applyAlignment="1">
      <alignment vertical="center"/>
    </xf>
    <xf numFmtId="0" fontId="2" fillId="5" borderId="23" xfId="0" applyFont="1" applyFill="1" applyBorder="1" applyAlignment="1">
      <alignment vertical="center"/>
    </xf>
    <xf numFmtId="3" fontId="2" fillId="6" borderId="5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9" fontId="5" fillId="8" borderId="15" xfId="0" applyNumberFormat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3" fontId="2" fillId="0" borderId="24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9" fontId="5" fillId="3" borderId="19" xfId="0" applyNumberFormat="1" applyFont="1" applyFill="1" applyBorder="1" applyAlignment="1">
      <alignment horizontal="center" vertical="center"/>
    </xf>
    <xf numFmtId="9" fontId="2" fillId="0" borderId="17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9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3" fontId="9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left" vertical="center"/>
    </xf>
    <xf numFmtId="0" fontId="5" fillId="6" borderId="13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9" fontId="5" fillId="5" borderId="15" xfId="0" applyNumberFormat="1" applyFont="1" applyFill="1" applyBorder="1" applyAlignment="1">
      <alignment horizontal="center" vertical="center"/>
    </xf>
    <xf numFmtId="9" fontId="5" fillId="8" borderId="19" xfId="0" applyNumberFormat="1" applyFont="1" applyFill="1" applyBorder="1" applyAlignment="1">
      <alignment horizontal="center" vertical="center"/>
    </xf>
    <xf numFmtId="9" fontId="5" fillId="3" borderId="19" xfId="0" applyNumberFormat="1" applyFont="1" applyFill="1" applyBorder="1" applyAlignment="1">
      <alignment horizontal="center" vertical="center"/>
    </xf>
    <xf numFmtId="9" fontId="5" fillId="3" borderId="21" xfId="0" applyNumberFormat="1" applyFont="1" applyFill="1" applyBorder="1" applyAlignment="1">
      <alignment horizontal="center" vertical="center"/>
    </xf>
    <xf numFmtId="9" fontId="2" fillId="0" borderId="17" xfId="0" applyNumberFormat="1" applyFont="1" applyBorder="1" applyAlignment="1">
      <alignment horizontal="center" vertical="center"/>
    </xf>
    <xf numFmtId="9" fontId="2" fillId="0" borderId="10" xfId="0" applyNumberFormat="1" applyFont="1" applyBorder="1" applyAlignment="1">
      <alignment horizontal="center" vertical="center"/>
    </xf>
    <xf numFmtId="9" fontId="2" fillId="0" borderId="16" xfId="0" applyNumberFormat="1" applyFont="1" applyBorder="1" applyAlignment="1">
      <alignment horizontal="center" vertical="center"/>
    </xf>
    <xf numFmtId="9" fontId="2" fillId="0" borderId="13" xfId="0" applyNumberFormat="1" applyFont="1" applyBorder="1" applyAlignment="1">
      <alignment horizontal="center" vertical="center"/>
    </xf>
    <xf numFmtId="9" fontId="2" fillId="3" borderId="6" xfId="0" applyNumberFormat="1" applyFont="1" applyFill="1" applyBorder="1" applyAlignment="1">
      <alignment horizontal="center" vertical="center"/>
    </xf>
    <xf numFmtId="9" fontId="2" fillId="4" borderId="6" xfId="0" applyNumberFormat="1" applyFont="1" applyFill="1" applyBorder="1" applyAlignment="1">
      <alignment horizontal="center" vertical="center"/>
    </xf>
    <xf numFmtId="9" fontId="2" fillId="5" borderId="6" xfId="0" applyNumberFormat="1" applyFont="1" applyFill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190500</xdr:colOff>
      <xdr:row>19</xdr:row>
      <xdr:rowOff>19050</xdr:rowOff>
    </xdr:from>
    <xdr:to>
      <xdr:col>7</xdr:col>
      <xdr:colOff>613500</xdr:colOff>
      <xdr:row>20</xdr:row>
      <xdr:rowOff>194347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15225" y="4724400"/>
          <a:ext cx="1036410" cy="4267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22</xdr:row>
      <xdr:rowOff>19050</xdr:rowOff>
    </xdr:from>
    <xdr:to>
      <xdr:col>7</xdr:col>
      <xdr:colOff>643980</xdr:colOff>
      <xdr:row>23</xdr:row>
      <xdr:rowOff>194347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67625" y="5314950"/>
          <a:ext cx="1036410" cy="4267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22</xdr:row>
      <xdr:rowOff>0</xdr:rowOff>
    </xdr:from>
    <xdr:to>
      <xdr:col>7</xdr:col>
      <xdr:colOff>643980</xdr:colOff>
      <xdr:row>23</xdr:row>
      <xdr:rowOff>186727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05725" y="5257800"/>
          <a:ext cx="1036410" cy="4267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workbookViewId="0">
      <selection activeCell="D23" sqref="D23"/>
    </sheetView>
  </sheetViews>
  <sheetFormatPr baseColWidth="10" defaultColWidth="9.1640625" defaultRowHeight="15" x14ac:dyDescent="0.2"/>
  <cols>
    <col min="1" max="1" width="1.1640625" style="26" customWidth="1"/>
    <col min="2" max="2" width="9.1640625" style="26"/>
    <col min="3" max="3" width="22.83203125" style="26" customWidth="1"/>
    <col min="4" max="4" width="9.1640625" style="26"/>
    <col min="5" max="5" width="26.5" style="26" bestFit="1" customWidth="1"/>
    <col min="6" max="6" width="11.33203125" style="26" bestFit="1" customWidth="1"/>
    <col min="7" max="7" width="9.1640625" style="26"/>
    <col min="8" max="8" width="21.6640625" style="26" customWidth="1"/>
    <col min="9" max="16384" width="9.1640625" style="26"/>
  </cols>
  <sheetData>
    <row r="1" spans="1:15" x14ac:dyDescent="0.2">
      <c r="B1" s="74"/>
      <c r="C1" s="74"/>
      <c r="D1" s="74"/>
      <c r="E1" s="74"/>
      <c r="F1" s="74"/>
      <c r="G1" s="74"/>
      <c r="H1" s="74"/>
    </row>
    <row r="2" spans="1:15" x14ac:dyDescent="0.2">
      <c r="B2" s="74"/>
      <c r="C2" s="74"/>
      <c r="D2" s="74"/>
      <c r="E2" s="74"/>
      <c r="F2" s="74"/>
      <c r="G2" s="74"/>
      <c r="H2" s="74"/>
    </row>
    <row r="3" spans="1:15" x14ac:dyDescent="0.2">
      <c r="B3" s="81"/>
      <c r="C3" s="81"/>
      <c r="D3" s="81"/>
      <c r="E3" s="81"/>
      <c r="F3" s="61"/>
      <c r="G3" s="61"/>
      <c r="H3" s="61"/>
      <c r="I3"/>
      <c r="J3"/>
      <c r="K3"/>
      <c r="L3"/>
      <c r="M3"/>
      <c r="N3"/>
      <c r="O3"/>
    </row>
    <row r="4" spans="1:15" x14ac:dyDescent="0.2">
      <c r="B4" s="62"/>
      <c r="C4" s="63"/>
      <c r="D4" s="64"/>
      <c r="E4" s="63"/>
      <c r="F4" s="64"/>
      <c r="G4" s="63"/>
      <c r="H4" s="63"/>
    </row>
    <row r="5" spans="1:15" x14ac:dyDescent="0.2">
      <c r="A5" s="5"/>
      <c r="B5" s="65"/>
      <c r="C5" s="66"/>
      <c r="D5" s="67"/>
      <c r="E5" s="63"/>
      <c r="F5" s="68"/>
      <c r="G5" s="63"/>
      <c r="H5" s="69"/>
    </row>
    <row r="6" spans="1:15" x14ac:dyDescent="0.2">
      <c r="A6" s="5"/>
      <c r="B6" s="73"/>
      <c r="C6" s="73"/>
      <c r="D6" s="68"/>
      <c r="E6" s="70"/>
      <c r="F6" s="68"/>
      <c r="G6" s="67"/>
      <c r="H6" s="69"/>
    </row>
    <row r="7" spans="1:15" x14ac:dyDescent="0.2">
      <c r="A7" s="5"/>
      <c r="B7" s="5"/>
      <c r="C7" s="5"/>
      <c r="D7" s="5"/>
      <c r="E7" s="5"/>
      <c r="F7" s="5"/>
      <c r="G7" s="5"/>
      <c r="H7" s="5"/>
    </row>
    <row r="8" spans="1:15" ht="16" x14ac:dyDescent="0.2">
      <c r="A8" s="5"/>
      <c r="B8" s="5"/>
      <c r="C8" s="71"/>
      <c r="D8" s="5"/>
      <c r="E8" s="72"/>
      <c r="F8" s="5"/>
      <c r="G8" s="5"/>
      <c r="H8" s="5"/>
    </row>
    <row r="9" spans="1:15" x14ac:dyDescent="0.2">
      <c r="A9" s="5"/>
    </row>
    <row r="10" spans="1:15" x14ac:dyDescent="0.2">
      <c r="A10" s="5"/>
      <c r="B10" s="74" t="s">
        <v>41</v>
      </c>
      <c r="C10" s="74"/>
      <c r="D10" s="74"/>
      <c r="E10" s="74"/>
      <c r="F10" s="74"/>
      <c r="G10" s="74"/>
      <c r="H10" s="74"/>
    </row>
    <row r="11" spans="1:15" ht="16" thickBot="1" x14ac:dyDescent="0.25">
      <c r="A11" s="5"/>
      <c r="B11" s="75"/>
      <c r="C11" s="75"/>
      <c r="D11" s="75"/>
      <c r="E11" s="75"/>
      <c r="F11" s="75"/>
      <c r="G11" s="75"/>
      <c r="H11" s="75"/>
    </row>
    <row r="12" spans="1:15" ht="16" thickBot="1" x14ac:dyDescent="0.25">
      <c r="A12" s="5"/>
      <c r="B12" s="76" t="s">
        <v>0</v>
      </c>
      <c r="C12" s="77"/>
      <c r="D12" s="77"/>
      <c r="E12" s="78"/>
      <c r="F12" s="31" t="s">
        <v>1</v>
      </c>
      <c r="G12" s="31" t="s">
        <v>2</v>
      </c>
      <c r="H12" s="6" t="s">
        <v>3</v>
      </c>
    </row>
    <row r="13" spans="1:15" ht="16" thickBot="1" x14ac:dyDescent="0.25">
      <c r="B13" s="7" t="s">
        <v>4</v>
      </c>
      <c r="C13" s="2"/>
      <c r="D13" s="8"/>
      <c r="E13" s="2"/>
      <c r="F13" s="8"/>
      <c r="G13" s="2"/>
      <c r="H13" s="48"/>
    </row>
    <row r="14" spans="1:15" ht="25" thickBot="1" x14ac:dyDescent="0.25">
      <c r="B14" s="59">
        <v>1</v>
      </c>
      <c r="C14" s="32" t="s">
        <v>5</v>
      </c>
      <c r="D14" s="60">
        <v>1</v>
      </c>
      <c r="E14" s="29" t="s">
        <v>8</v>
      </c>
      <c r="F14" s="28" t="s">
        <v>9</v>
      </c>
      <c r="G14" s="29">
        <v>1</v>
      </c>
      <c r="H14" s="41">
        <f>E17*G14</f>
        <v>0</v>
      </c>
    </row>
    <row r="15" spans="1:15" ht="16" thickBot="1" x14ac:dyDescent="0.25">
      <c r="B15" s="79" t="s">
        <v>6</v>
      </c>
      <c r="C15" s="80"/>
      <c r="D15" s="22"/>
      <c r="E15" s="23"/>
      <c r="F15" s="22"/>
      <c r="G15" s="24">
        <f>SUM(G14:G14)</f>
        <v>1</v>
      </c>
      <c r="H15" s="51">
        <f>SUM(H14:H14)</f>
        <v>0</v>
      </c>
    </row>
    <row r="16" spans="1:15" x14ac:dyDescent="0.2">
      <c r="B16" s="5"/>
      <c r="C16" s="5"/>
      <c r="D16" s="5"/>
      <c r="E16" s="5"/>
      <c r="F16" s="5"/>
      <c r="G16" s="5"/>
      <c r="H16" s="5"/>
    </row>
    <row r="17" spans="2:8" ht="16" x14ac:dyDescent="0.2">
      <c r="B17" s="5"/>
      <c r="C17" s="71"/>
      <c r="D17" s="5"/>
      <c r="E17" s="72"/>
      <c r="F17" s="5"/>
      <c r="G17" s="5"/>
      <c r="H17" s="5"/>
    </row>
    <row r="18" spans="2:8" ht="15" customHeight="1" x14ac:dyDescent="0.2"/>
    <row r="19" spans="2:8" ht="15.75" customHeight="1" x14ac:dyDescent="0.2"/>
    <row r="20" spans="2:8" ht="26.25" customHeight="1" x14ac:dyDescent="0.2"/>
  </sheetData>
  <mergeCells count="6">
    <mergeCell ref="B6:C6"/>
    <mergeCell ref="B10:H11"/>
    <mergeCell ref="B12:E12"/>
    <mergeCell ref="B15:C15"/>
    <mergeCell ref="B1:H2"/>
    <mergeCell ref="B3:E3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8"/>
  <sheetViews>
    <sheetView tabSelected="1" workbookViewId="0">
      <selection activeCell="E22" sqref="E22"/>
    </sheetView>
  </sheetViews>
  <sheetFormatPr baseColWidth="10" defaultColWidth="9.1640625" defaultRowHeight="20" customHeight="1" x14ac:dyDescent="0.2"/>
  <cols>
    <col min="1" max="2" width="9.1640625" style="5"/>
    <col min="3" max="3" width="33.33203125" style="5" bestFit="1" customWidth="1"/>
    <col min="4" max="4" width="9.1640625" style="5"/>
    <col min="5" max="5" width="37.83203125" style="5" customWidth="1"/>
    <col min="6" max="6" width="11.33203125" style="5" bestFit="1" customWidth="1"/>
    <col min="7" max="7" width="9.1640625" style="5"/>
    <col min="8" max="8" width="10.83203125" style="5" customWidth="1"/>
    <col min="9" max="9" width="3.83203125" style="5" customWidth="1"/>
    <col min="10" max="16384" width="9.1640625" style="5"/>
  </cols>
  <sheetData>
    <row r="1" spans="2:8" ht="20" customHeight="1" x14ac:dyDescent="0.2">
      <c r="B1" s="74" t="s">
        <v>42</v>
      </c>
      <c r="C1" s="74"/>
      <c r="D1" s="74"/>
      <c r="E1" s="74"/>
      <c r="F1" s="74"/>
      <c r="G1" s="74"/>
      <c r="H1" s="74"/>
    </row>
    <row r="2" spans="2:8" ht="20" customHeight="1" thickBot="1" x14ac:dyDescent="0.25">
      <c r="B2" s="75"/>
      <c r="C2" s="75"/>
      <c r="D2" s="75"/>
      <c r="E2" s="75"/>
      <c r="F2" s="75"/>
      <c r="G2" s="75"/>
      <c r="H2" s="75"/>
    </row>
    <row r="3" spans="2:8" ht="20" customHeight="1" thickBot="1" x14ac:dyDescent="0.25">
      <c r="B3" s="76" t="s">
        <v>10</v>
      </c>
      <c r="C3" s="77"/>
      <c r="D3" s="77"/>
      <c r="E3" s="78"/>
      <c r="F3" s="31" t="s">
        <v>1</v>
      </c>
      <c r="G3" s="31" t="s">
        <v>2</v>
      </c>
      <c r="H3" s="6" t="s">
        <v>3</v>
      </c>
    </row>
    <row r="4" spans="2:8" ht="20" customHeight="1" thickBot="1" x14ac:dyDescent="0.25">
      <c r="B4" s="7" t="s">
        <v>4</v>
      </c>
      <c r="C4" s="2"/>
      <c r="D4" s="8"/>
      <c r="E4" s="2"/>
      <c r="F4" s="8"/>
      <c r="G4" s="8" t="s">
        <v>44</v>
      </c>
      <c r="H4" s="48"/>
    </row>
    <row r="5" spans="2:8" ht="20" customHeight="1" thickBot="1" x14ac:dyDescent="0.25">
      <c r="B5" s="87">
        <v>0.7</v>
      </c>
      <c r="C5" s="32" t="s">
        <v>5</v>
      </c>
      <c r="D5" s="60">
        <v>0</v>
      </c>
      <c r="E5" s="29"/>
      <c r="F5" s="28"/>
      <c r="G5" s="29"/>
      <c r="H5" s="41">
        <f>E18*G5</f>
        <v>0</v>
      </c>
    </row>
    <row r="6" spans="2:8" ht="20" customHeight="1" thickBot="1" x14ac:dyDescent="0.25">
      <c r="B6" s="87"/>
      <c r="C6" s="27" t="s">
        <v>11</v>
      </c>
      <c r="D6" s="60">
        <v>0.5</v>
      </c>
      <c r="E6" s="12" t="s">
        <v>12</v>
      </c>
      <c r="F6" s="13" t="s">
        <v>13</v>
      </c>
      <c r="G6" s="1">
        <v>0.5</v>
      </c>
      <c r="H6" s="39">
        <f>E18*G6</f>
        <v>50000</v>
      </c>
    </row>
    <row r="7" spans="2:8" ht="20" customHeight="1" thickBot="1" x14ac:dyDescent="0.25">
      <c r="B7" s="88"/>
      <c r="C7" s="32" t="s">
        <v>14</v>
      </c>
      <c r="D7" s="60">
        <v>0.2</v>
      </c>
      <c r="E7" s="25" t="s">
        <v>15</v>
      </c>
      <c r="F7" s="28" t="s">
        <v>16</v>
      </c>
      <c r="G7" s="30">
        <v>0.2</v>
      </c>
      <c r="H7" s="41">
        <f>E18*G7</f>
        <v>20000</v>
      </c>
    </row>
    <row r="8" spans="2:8" ht="20" customHeight="1" thickBot="1" x14ac:dyDescent="0.25">
      <c r="B8" s="9" t="s">
        <v>17</v>
      </c>
      <c r="C8" s="3"/>
      <c r="D8" s="10"/>
      <c r="E8" s="3"/>
      <c r="F8" s="11"/>
      <c r="G8" s="10" t="s">
        <v>43</v>
      </c>
      <c r="H8" s="49"/>
    </row>
    <row r="9" spans="2:8" ht="20" customHeight="1" thickBot="1" x14ac:dyDescent="0.25">
      <c r="B9" s="86">
        <v>0.2</v>
      </c>
      <c r="C9" s="82" t="s">
        <v>18</v>
      </c>
      <c r="D9" s="89">
        <v>0.2</v>
      </c>
      <c r="E9" s="12" t="s">
        <v>19</v>
      </c>
      <c r="F9" s="13" t="s">
        <v>20</v>
      </c>
      <c r="G9" s="1">
        <v>0.05</v>
      </c>
      <c r="H9" s="39">
        <f>E18*G9</f>
        <v>5000</v>
      </c>
    </row>
    <row r="10" spans="2:8" ht="20" customHeight="1" thickBot="1" x14ac:dyDescent="0.25">
      <c r="B10" s="86"/>
      <c r="C10" s="83"/>
      <c r="D10" s="84"/>
      <c r="E10" s="12" t="s">
        <v>21</v>
      </c>
      <c r="F10" s="45" t="s">
        <v>22</v>
      </c>
      <c r="G10" s="46">
        <v>0.15</v>
      </c>
      <c r="H10" s="47">
        <f>E18*G10</f>
        <v>15000</v>
      </c>
    </row>
    <row r="11" spans="2:8" ht="20" customHeight="1" thickBot="1" x14ac:dyDescent="0.25">
      <c r="B11" s="86"/>
      <c r="C11" s="27" t="s">
        <v>23</v>
      </c>
      <c r="D11" s="60">
        <v>0</v>
      </c>
      <c r="E11" s="29"/>
      <c r="F11" s="28"/>
      <c r="G11" s="30">
        <v>0</v>
      </c>
      <c r="H11" s="41">
        <f>E18*G11</f>
        <v>0</v>
      </c>
    </row>
    <row r="12" spans="2:8" ht="20" customHeight="1" thickBot="1" x14ac:dyDescent="0.25">
      <c r="B12" s="18" t="s">
        <v>24</v>
      </c>
      <c r="C12" s="4"/>
      <c r="D12" s="19"/>
      <c r="E12" s="4"/>
      <c r="F12" s="20"/>
      <c r="G12" s="19" t="s">
        <v>45</v>
      </c>
      <c r="H12" s="50"/>
    </row>
    <row r="13" spans="2:8" ht="20" customHeight="1" thickBot="1" x14ac:dyDescent="0.25">
      <c r="B13" s="85">
        <v>0.1</v>
      </c>
      <c r="C13" s="14" t="s">
        <v>25</v>
      </c>
      <c r="D13" s="90">
        <v>0</v>
      </c>
      <c r="E13" s="12"/>
      <c r="F13" s="45"/>
      <c r="G13" s="17">
        <v>0</v>
      </c>
      <c r="H13" s="43">
        <v>0</v>
      </c>
    </row>
    <row r="14" spans="2:8" ht="20" customHeight="1" thickBot="1" x14ac:dyDescent="0.25">
      <c r="B14" s="85"/>
      <c r="C14" s="33" t="s">
        <v>26</v>
      </c>
      <c r="D14" s="91">
        <v>0</v>
      </c>
      <c r="E14" s="21"/>
      <c r="F14" s="34"/>
      <c r="G14" s="35">
        <v>0</v>
      </c>
      <c r="H14" s="42">
        <v>0</v>
      </c>
    </row>
    <row r="15" spans="2:8" ht="20" customHeight="1" thickBot="1" x14ac:dyDescent="0.25">
      <c r="B15" s="85"/>
      <c r="C15" s="14" t="s">
        <v>27</v>
      </c>
      <c r="D15" s="90">
        <v>0.1</v>
      </c>
      <c r="E15" s="12" t="s">
        <v>28</v>
      </c>
      <c r="F15" s="45" t="s">
        <v>29</v>
      </c>
      <c r="G15" s="17">
        <v>0.1</v>
      </c>
      <c r="H15" s="43">
        <f>E20*G15</f>
        <v>0</v>
      </c>
    </row>
    <row r="16" spans="2:8" ht="20" customHeight="1" thickBot="1" x14ac:dyDescent="0.25">
      <c r="B16" s="79" t="s">
        <v>6</v>
      </c>
      <c r="C16" s="80"/>
      <c r="D16" s="22"/>
      <c r="E16" s="23"/>
      <c r="F16" s="22"/>
      <c r="G16" s="24">
        <f>SUM(G5:G15)</f>
        <v>1</v>
      </c>
      <c r="H16" s="51">
        <f>SUM(H5:H15)</f>
        <v>90000</v>
      </c>
    </row>
    <row r="18" spans="3:5" ht="20" customHeight="1" x14ac:dyDescent="0.2">
      <c r="C18" s="37" t="s">
        <v>7</v>
      </c>
      <c r="E18" s="38">
        <v>100000</v>
      </c>
    </row>
  </sheetData>
  <mergeCells count="8">
    <mergeCell ref="C9:C10"/>
    <mergeCell ref="D9:D10"/>
    <mergeCell ref="B1:H2"/>
    <mergeCell ref="B13:B15"/>
    <mergeCell ref="B16:C16"/>
    <mergeCell ref="B9:B11"/>
    <mergeCell ref="B3:E3"/>
    <mergeCell ref="B5:B7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"/>
  <sheetViews>
    <sheetView workbookViewId="0">
      <selection activeCell="G15" sqref="G15"/>
    </sheetView>
  </sheetViews>
  <sheetFormatPr baseColWidth="10" defaultColWidth="8.83203125" defaultRowHeight="13" x14ac:dyDescent="0.15"/>
  <cols>
    <col min="1" max="1" width="3" customWidth="1"/>
    <col min="3" max="3" width="33.33203125" customWidth="1"/>
    <col min="4" max="4" width="8.1640625" customWidth="1"/>
    <col min="5" max="5" width="48.6640625" bestFit="1" customWidth="1"/>
    <col min="6" max="6" width="11.33203125" bestFit="1" customWidth="1"/>
    <col min="7" max="7" width="7.5" customWidth="1"/>
    <col min="8" max="8" width="10.5" customWidth="1"/>
  </cols>
  <sheetData>
    <row r="1" spans="1:9" ht="20" customHeight="1" x14ac:dyDescent="0.2">
      <c r="A1" s="36"/>
      <c r="B1" s="74" t="s">
        <v>30</v>
      </c>
      <c r="C1" s="74"/>
      <c r="D1" s="74"/>
      <c r="E1" s="74"/>
      <c r="F1" s="74"/>
      <c r="G1" s="74"/>
      <c r="H1" s="74"/>
      <c r="I1" s="5"/>
    </row>
    <row r="2" spans="1:9" ht="7.5" customHeight="1" thickBot="1" x14ac:dyDescent="0.25">
      <c r="B2" s="75"/>
      <c r="C2" s="75"/>
      <c r="D2" s="75"/>
      <c r="E2" s="75"/>
      <c r="F2" s="75"/>
      <c r="G2" s="75"/>
      <c r="H2" s="75"/>
      <c r="I2" s="5"/>
    </row>
    <row r="3" spans="1:9" ht="20" customHeight="1" thickBot="1" x14ac:dyDescent="0.25">
      <c r="B3" s="76" t="s">
        <v>31</v>
      </c>
      <c r="C3" s="77"/>
      <c r="D3" s="77"/>
      <c r="E3" s="78"/>
      <c r="F3" s="31" t="s">
        <v>1</v>
      </c>
      <c r="G3" s="31" t="s">
        <v>2</v>
      </c>
      <c r="H3" s="6" t="s">
        <v>3</v>
      </c>
      <c r="I3" s="5"/>
    </row>
    <row r="4" spans="1:9" ht="20" customHeight="1" thickBot="1" x14ac:dyDescent="0.25">
      <c r="B4" s="7" t="s">
        <v>4</v>
      </c>
      <c r="C4" s="2"/>
      <c r="D4" s="8"/>
      <c r="E4" s="2"/>
      <c r="F4" s="8"/>
      <c r="G4" s="8" t="s">
        <v>46</v>
      </c>
      <c r="H4" s="48"/>
      <c r="I4" s="5"/>
    </row>
    <row r="5" spans="1:9" ht="20" customHeight="1" thickBot="1" x14ac:dyDescent="0.25">
      <c r="B5" s="87">
        <v>0.5</v>
      </c>
      <c r="C5" s="32" t="s">
        <v>5</v>
      </c>
      <c r="D5" s="60">
        <v>0</v>
      </c>
      <c r="E5" s="29"/>
      <c r="F5" s="28"/>
      <c r="G5" s="1">
        <v>0</v>
      </c>
      <c r="H5" s="41">
        <f>E21*G5</f>
        <v>0</v>
      </c>
      <c r="I5" s="5"/>
    </row>
    <row r="6" spans="1:9" ht="20" customHeight="1" thickBot="1" x14ac:dyDescent="0.25">
      <c r="B6" s="87"/>
      <c r="C6" s="27" t="s">
        <v>11</v>
      </c>
      <c r="D6" s="60">
        <v>0.25</v>
      </c>
      <c r="E6" s="12" t="s">
        <v>12</v>
      </c>
      <c r="F6" s="13" t="s">
        <v>13</v>
      </c>
      <c r="G6" s="1">
        <v>0.25</v>
      </c>
      <c r="H6" s="39">
        <f>E21*G6</f>
        <v>25000</v>
      </c>
      <c r="I6" s="5"/>
    </row>
    <row r="7" spans="1:9" ht="20" customHeight="1" thickBot="1" x14ac:dyDescent="0.25">
      <c r="B7" s="87"/>
      <c r="C7" s="53" t="s">
        <v>14</v>
      </c>
      <c r="D7" s="90">
        <v>0.1</v>
      </c>
      <c r="E7" s="54" t="s">
        <v>15</v>
      </c>
      <c r="F7" s="16" t="s">
        <v>16</v>
      </c>
      <c r="G7" s="17">
        <v>0.1</v>
      </c>
      <c r="H7" s="40">
        <f>E21*G7</f>
        <v>10000</v>
      </c>
      <c r="I7" s="5"/>
    </row>
    <row r="8" spans="1:9" ht="20" customHeight="1" thickBot="1" x14ac:dyDescent="0.25">
      <c r="B8" s="87"/>
      <c r="C8" s="33" t="s">
        <v>32</v>
      </c>
      <c r="D8" s="91">
        <v>0.1</v>
      </c>
      <c r="E8" s="52" t="s">
        <v>33</v>
      </c>
      <c r="F8" s="34" t="s">
        <v>34</v>
      </c>
      <c r="G8" s="35">
        <v>0.1</v>
      </c>
      <c r="H8" s="40">
        <f>E21*G8</f>
        <v>10000</v>
      </c>
      <c r="I8" s="5"/>
    </row>
    <row r="9" spans="1:9" ht="20" customHeight="1" thickBot="1" x14ac:dyDescent="0.25">
      <c r="B9" s="88"/>
      <c r="C9" s="32" t="s">
        <v>35</v>
      </c>
      <c r="D9" s="60">
        <v>0.05</v>
      </c>
      <c r="E9" s="25" t="s">
        <v>36</v>
      </c>
      <c r="F9" s="28" t="s">
        <v>37</v>
      </c>
      <c r="G9" s="30">
        <v>0.05</v>
      </c>
      <c r="H9" s="41">
        <f>E21*G9</f>
        <v>5000</v>
      </c>
      <c r="I9" s="5"/>
    </row>
    <row r="10" spans="1:9" ht="20" customHeight="1" thickBot="1" x14ac:dyDescent="0.25">
      <c r="B10" s="9" t="s">
        <v>17</v>
      </c>
      <c r="C10" s="3"/>
      <c r="D10" s="10"/>
      <c r="E10" s="3"/>
      <c r="F10" s="11"/>
      <c r="G10" s="10" t="s">
        <v>47</v>
      </c>
      <c r="H10" s="49"/>
      <c r="I10" s="5"/>
    </row>
    <row r="11" spans="1:9" ht="20" customHeight="1" x14ac:dyDescent="0.2">
      <c r="B11" s="86">
        <v>0.4</v>
      </c>
      <c r="C11" s="82" t="s">
        <v>18</v>
      </c>
      <c r="D11" s="89">
        <v>0.4</v>
      </c>
      <c r="E11" s="12" t="s">
        <v>19</v>
      </c>
      <c r="F11" s="13" t="s">
        <v>20</v>
      </c>
      <c r="G11" s="1">
        <v>0.15</v>
      </c>
      <c r="H11" s="39">
        <f>E21*G11</f>
        <v>15000</v>
      </c>
      <c r="I11" s="5"/>
    </row>
    <row r="12" spans="1:9" ht="20" customHeight="1" thickBot="1" x14ac:dyDescent="0.25">
      <c r="B12" s="86"/>
      <c r="C12" s="83"/>
      <c r="D12" s="84"/>
      <c r="E12" s="44" t="s">
        <v>21</v>
      </c>
      <c r="F12" s="45" t="s">
        <v>22</v>
      </c>
      <c r="G12" s="46">
        <v>0.25</v>
      </c>
      <c r="H12" s="47">
        <f>E21*G12</f>
        <v>25000</v>
      </c>
      <c r="I12" s="5"/>
    </row>
    <row r="13" spans="1:9" ht="20" customHeight="1" thickBot="1" x14ac:dyDescent="0.25">
      <c r="B13" s="86"/>
      <c r="C13" s="27" t="s">
        <v>23</v>
      </c>
      <c r="D13" s="60">
        <v>0</v>
      </c>
      <c r="E13" s="29"/>
      <c r="F13" s="28"/>
      <c r="G13" s="30">
        <v>0</v>
      </c>
      <c r="H13" s="41">
        <f>E21*G13</f>
        <v>0</v>
      </c>
      <c r="I13" s="5"/>
    </row>
    <row r="14" spans="1:9" ht="20" customHeight="1" thickBot="1" x14ac:dyDescent="0.25">
      <c r="B14" s="55"/>
      <c r="C14" s="14" t="s">
        <v>38</v>
      </c>
      <c r="D14" s="60">
        <v>0</v>
      </c>
      <c r="E14" s="58"/>
      <c r="F14" s="56"/>
      <c r="G14" s="17">
        <v>0</v>
      </c>
      <c r="H14" s="57">
        <f>E21*G14</f>
        <v>0</v>
      </c>
      <c r="I14" s="5"/>
    </row>
    <row r="15" spans="1:9" ht="20" customHeight="1" thickBot="1" x14ac:dyDescent="0.25">
      <c r="B15" s="18" t="s">
        <v>24</v>
      </c>
      <c r="C15" s="4"/>
      <c r="D15" s="19"/>
      <c r="E15" s="4"/>
      <c r="F15" s="20"/>
      <c r="G15" s="19" t="s">
        <v>45</v>
      </c>
      <c r="H15" s="50"/>
      <c r="I15" s="5"/>
    </row>
    <row r="16" spans="1:9" ht="20" customHeight="1" thickBot="1" x14ac:dyDescent="0.25">
      <c r="B16" s="85">
        <v>0.1</v>
      </c>
      <c r="C16" s="14" t="s">
        <v>25</v>
      </c>
      <c r="D16" s="90">
        <v>0</v>
      </c>
      <c r="E16" s="15"/>
      <c r="F16" s="16"/>
      <c r="G16" s="17">
        <v>0</v>
      </c>
      <c r="H16" s="43">
        <v>0</v>
      </c>
      <c r="I16" s="5"/>
    </row>
    <row r="17" spans="2:9" ht="20" customHeight="1" thickBot="1" x14ac:dyDescent="0.25">
      <c r="B17" s="85"/>
      <c r="C17" s="33" t="s">
        <v>26</v>
      </c>
      <c r="D17" s="91">
        <v>0</v>
      </c>
      <c r="E17" s="21"/>
      <c r="F17" s="34"/>
      <c r="G17" s="35">
        <v>0</v>
      </c>
      <c r="H17" s="42">
        <v>0</v>
      </c>
      <c r="I17" s="5"/>
    </row>
    <row r="18" spans="2:9" ht="20" customHeight="1" thickBot="1" x14ac:dyDescent="0.25">
      <c r="B18" s="85"/>
      <c r="C18" s="14" t="s">
        <v>27</v>
      </c>
      <c r="D18" s="90">
        <v>0.1</v>
      </c>
      <c r="E18" s="12" t="s">
        <v>28</v>
      </c>
      <c r="F18" s="45" t="s">
        <v>29</v>
      </c>
      <c r="G18" s="17">
        <v>0.1</v>
      </c>
      <c r="H18" s="43">
        <f>E23*G18</f>
        <v>0</v>
      </c>
      <c r="I18" s="5"/>
    </row>
    <row r="19" spans="2:9" ht="20" customHeight="1" thickBot="1" x14ac:dyDescent="0.25">
      <c r="B19" s="79" t="s">
        <v>6</v>
      </c>
      <c r="C19" s="80"/>
      <c r="D19" s="22"/>
      <c r="E19" s="23"/>
      <c r="F19" s="22"/>
      <c r="G19" s="24">
        <f>SUM(G5:G18)</f>
        <v>0.99999999999999989</v>
      </c>
      <c r="H19" s="51">
        <f>SUM(H5:H18)</f>
        <v>90000</v>
      </c>
      <c r="I19" s="5"/>
    </row>
    <row r="20" spans="2:9" ht="20" customHeight="1" x14ac:dyDescent="0.2">
      <c r="B20" s="5"/>
      <c r="C20" s="5"/>
      <c r="D20" s="5"/>
      <c r="E20" s="5"/>
      <c r="F20" s="5"/>
      <c r="G20" s="5"/>
      <c r="H20" s="5"/>
      <c r="I20" s="5"/>
    </row>
    <row r="21" spans="2:9" ht="20" customHeight="1" x14ac:dyDescent="0.2">
      <c r="B21" s="5"/>
      <c r="C21" s="37" t="s">
        <v>7</v>
      </c>
      <c r="D21" s="5"/>
      <c r="E21" s="38">
        <v>100000</v>
      </c>
      <c r="F21" s="5"/>
      <c r="G21" s="5"/>
      <c r="H21" s="5"/>
      <c r="I21" s="5"/>
    </row>
    <row r="22" spans="2:9" ht="20" customHeight="1" x14ac:dyDescent="0.15"/>
    <row r="23" spans="2:9" ht="20" customHeight="1" x14ac:dyDescent="0.15"/>
    <row r="24" spans="2:9" ht="20" customHeight="1" x14ac:dyDescent="0.15"/>
    <row r="25" spans="2:9" ht="20" customHeight="1" x14ac:dyDescent="0.15"/>
    <row r="26" spans="2:9" ht="20" customHeight="1" x14ac:dyDescent="0.15"/>
    <row r="27" spans="2:9" ht="20" customHeight="1" x14ac:dyDescent="0.15"/>
    <row r="28" spans="2:9" ht="20" customHeight="1" x14ac:dyDescent="0.15"/>
    <row r="29" spans="2:9" ht="20" customHeight="1" x14ac:dyDescent="0.15"/>
    <row r="30" spans="2:9" ht="20" customHeight="1" x14ac:dyDescent="0.15"/>
  </sheetData>
  <mergeCells count="8">
    <mergeCell ref="B16:B18"/>
    <mergeCell ref="B19:C19"/>
    <mergeCell ref="B1:H2"/>
    <mergeCell ref="B3:E3"/>
    <mergeCell ref="B5:B9"/>
    <mergeCell ref="B11:B13"/>
    <mergeCell ref="C11:C12"/>
    <mergeCell ref="D11:D12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31"/>
  <sheetViews>
    <sheetView workbookViewId="0">
      <selection activeCell="J15" sqref="J15"/>
    </sheetView>
  </sheetViews>
  <sheetFormatPr baseColWidth="10" defaultColWidth="8.83203125" defaultRowHeight="13" x14ac:dyDescent="0.15"/>
  <cols>
    <col min="1" max="1" width="3.1640625" customWidth="1"/>
    <col min="3" max="3" width="32.83203125" customWidth="1"/>
    <col min="5" max="5" width="47.5" customWidth="1"/>
    <col min="6" max="6" width="11.33203125" bestFit="1" customWidth="1"/>
    <col min="7" max="7" width="8.5" customWidth="1"/>
    <col min="8" max="8" width="10.5" customWidth="1"/>
  </cols>
  <sheetData>
    <row r="1" spans="2:9" ht="15.75" customHeight="1" x14ac:dyDescent="0.2">
      <c r="B1" s="74" t="s">
        <v>39</v>
      </c>
      <c r="C1" s="74"/>
      <c r="D1" s="74"/>
      <c r="E1" s="74"/>
      <c r="F1" s="74"/>
      <c r="G1" s="74"/>
      <c r="H1" s="74"/>
      <c r="I1" s="5"/>
    </row>
    <row r="2" spans="2:9" ht="12.75" customHeight="1" thickBot="1" x14ac:dyDescent="0.25">
      <c r="B2" s="75"/>
      <c r="C2" s="75"/>
      <c r="D2" s="75"/>
      <c r="E2" s="75"/>
      <c r="F2" s="75"/>
      <c r="G2" s="75"/>
      <c r="H2" s="75"/>
      <c r="I2" s="5"/>
    </row>
    <row r="3" spans="2:9" ht="20" customHeight="1" thickBot="1" x14ac:dyDescent="0.25">
      <c r="B3" s="76" t="s">
        <v>40</v>
      </c>
      <c r="C3" s="77"/>
      <c r="D3" s="77"/>
      <c r="E3" s="78"/>
      <c r="F3" s="31" t="s">
        <v>1</v>
      </c>
      <c r="G3" s="31" t="s">
        <v>2</v>
      </c>
      <c r="H3" s="6" t="s">
        <v>3</v>
      </c>
      <c r="I3" s="5"/>
    </row>
    <row r="4" spans="2:9" ht="20" customHeight="1" thickBot="1" x14ac:dyDescent="0.25">
      <c r="B4" s="7" t="s">
        <v>4</v>
      </c>
      <c r="C4" s="2"/>
      <c r="D4" s="8"/>
      <c r="E4" s="2"/>
      <c r="F4" s="8"/>
      <c r="G4" s="93" t="s">
        <v>43</v>
      </c>
      <c r="H4" s="48"/>
      <c r="I4" s="5"/>
    </row>
    <row r="5" spans="2:9" ht="20" customHeight="1" thickBot="1" x14ac:dyDescent="0.25">
      <c r="B5" s="87">
        <v>0.2</v>
      </c>
      <c r="C5" s="32" t="s">
        <v>5</v>
      </c>
      <c r="D5" s="60">
        <v>0</v>
      </c>
      <c r="E5" s="29"/>
      <c r="F5" s="28"/>
      <c r="G5" s="1">
        <v>0</v>
      </c>
      <c r="H5" s="41">
        <f>E21*G5</f>
        <v>0</v>
      </c>
      <c r="I5" s="5"/>
    </row>
    <row r="6" spans="2:9" ht="20" customHeight="1" thickBot="1" x14ac:dyDescent="0.25">
      <c r="B6" s="87"/>
      <c r="C6" s="27" t="s">
        <v>11</v>
      </c>
      <c r="D6" s="60">
        <v>0.05</v>
      </c>
      <c r="E6" s="12" t="s">
        <v>12</v>
      </c>
      <c r="F6" s="13" t="s">
        <v>13</v>
      </c>
      <c r="G6" s="1">
        <v>0.05</v>
      </c>
      <c r="H6" s="39">
        <f>E21*G6</f>
        <v>5000</v>
      </c>
      <c r="I6" s="5"/>
    </row>
    <row r="7" spans="2:9" ht="20" customHeight="1" thickBot="1" x14ac:dyDescent="0.25">
      <c r="B7" s="87"/>
      <c r="C7" s="53" t="s">
        <v>14</v>
      </c>
      <c r="D7" s="90">
        <v>0.05</v>
      </c>
      <c r="E7" s="54" t="s">
        <v>15</v>
      </c>
      <c r="F7" s="16" t="s">
        <v>16</v>
      </c>
      <c r="G7" s="17">
        <v>0.05</v>
      </c>
      <c r="H7" s="40">
        <f>E21*G7</f>
        <v>5000</v>
      </c>
      <c r="I7" s="5"/>
    </row>
    <row r="8" spans="2:9" ht="20" customHeight="1" thickBot="1" x14ac:dyDescent="0.25">
      <c r="B8" s="87"/>
      <c r="C8" s="33" t="s">
        <v>32</v>
      </c>
      <c r="D8" s="91">
        <v>0.05</v>
      </c>
      <c r="E8" s="52" t="s">
        <v>33</v>
      </c>
      <c r="F8" s="34" t="s">
        <v>34</v>
      </c>
      <c r="G8" s="35">
        <v>0.05</v>
      </c>
      <c r="H8" s="40">
        <f>E21*G8</f>
        <v>5000</v>
      </c>
      <c r="I8" s="5"/>
    </row>
    <row r="9" spans="2:9" ht="20" customHeight="1" thickBot="1" x14ac:dyDescent="0.25">
      <c r="B9" s="88"/>
      <c r="C9" s="32" t="s">
        <v>35</v>
      </c>
      <c r="D9" s="60">
        <v>0.05</v>
      </c>
      <c r="E9" s="25" t="s">
        <v>36</v>
      </c>
      <c r="F9" s="28" t="s">
        <v>37</v>
      </c>
      <c r="G9" s="30">
        <v>0.05</v>
      </c>
      <c r="H9" s="41">
        <f>E21*G9</f>
        <v>5000</v>
      </c>
      <c r="I9" s="5"/>
    </row>
    <row r="10" spans="2:9" ht="20" customHeight="1" thickBot="1" x14ac:dyDescent="0.25">
      <c r="B10" s="9" t="s">
        <v>17</v>
      </c>
      <c r="C10" s="3"/>
      <c r="D10" s="10"/>
      <c r="E10" s="3"/>
      <c r="F10" s="11"/>
      <c r="G10" s="94" t="s">
        <v>44</v>
      </c>
      <c r="H10" s="49"/>
      <c r="I10" s="5"/>
    </row>
    <row r="11" spans="2:9" ht="20" customHeight="1" x14ac:dyDescent="0.2">
      <c r="B11" s="86">
        <v>0.7</v>
      </c>
      <c r="C11" s="82" t="s">
        <v>18</v>
      </c>
      <c r="D11" s="89">
        <v>0.7</v>
      </c>
      <c r="E11" s="12" t="s">
        <v>19</v>
      </c>
      <c r="F11" s="13" t="s">
        <v>20</v>
      </c>
      <c r="G11" s="1">
        <v>0.3</v>
      </c>
      <c r="H11" s="39">
        <f>E21*G11</f>
        <v>30000</v>
      </c>
      <c r="I11" s="5"/>
    </row>
    <row r="12" spans="2:9" ht="20" customHeight="1" thickBot="1" x14ac:dyDescent="0.25">
      <c r="B12" s="86"/>
      <c r="C12" s="83"/>
      <c r="D12" s="84"/>
      <c r="E12" s="44" t="s">
        <v>21</v>
      </c>
      <c r="F12" s="45" t="s">
        <v>22</v>
      </c>
      <c r="G12" s="46">
        <v>0.4</v>
      </c>
      <c r="H12" s="47">
        <f>E21*G12</f>
        <v>40000</v>
      </c>
      <c r="I12" s="5"/>
    </row>
    <row r="13" spans="2:9" ht="20" customHeight="1" thickBot="1" x14ac:dyDescent="0.25">
      <c r="B13" s="86"/>
      <c r="C13" s="27" t="s">
        <v>23</v>
      </c>
      <c r="D13" s="60">
        <v>0</v>
      </c>
      <c r="E13" s="29"/>
      <c r="F13" s="28"/>
      <c r="G13" s="30">
        <v>0</v>
      </c>
      <c r="H13" s="41">
        <f>E21*G13</f>
        <v>0</v>
      </c>
      <c r="I13" s="5"/>
    </row>
    <row r="14" spans="2:9" ht="20" customHeight="1" thickBot="1" x14ac:dyDescent="0.25">
      <c r="B14" s="55"/>
      <c r="C14" s="14" t="s">
        <v>38</v>
      </c>
      <c r="D14" s="92">
        <v>0</v>
      </c>
      <c r="E14" s="58"/>
      <c r="F14" s="56"/>
      <c r="G14" s="17">
        <v>0</v>
      </c>
      <c r="H14" s="57">
        <f>E21*G14</f>
        <v>0</v>
      </c>
      <c r="I14" s="5"/>
    </row>
    <row r="15" spans="2:9" ht="20" customHeight="1" thickBot="1" x14ac:dyDescent="0.25">
      <c r="B15" s="18" t="s">
        <v>24</v>
      </c>
      <c r="C15" s="4"/>
      <c r="D15" s="19"/>
      <c r="E15" s="4"/>
      <c r="F15" s="20"/>
      <c r="G15" s="95" t="s">
        <v>45</v>
      </c>
      <c r="H15" s="50"/>
      <c r="I15" s="5"/>
    </row>
    <row r="16" spans="2:9" ht="20" customHeight="1" thickBot="1" x14ac:dyDescent="0.25">
      <c r="B16" s="85">
        <v>0.1</v>
      </c>
      <c r="C16" s="14" t="s">
        <v>25</v>
      </c>
      <c r="D16" s="90">
        <v>0</v>
      </c>
      <c r="E16" s="15"/>
      <c r="F16" s="16"/>
      <c r="G16" s="17">
        <v>0</v>
      </c>
      <c r="H16" s="43">
        <v>0</v>
      </c>
      <c r="I16" s="5"/>
    </row>
    <row r="17" spans="2:9" ht="20" customHeight="1" thickBot="1" x14ac:dyDescent="0.25">
      <c r="B17" s="85"/>
      <c r="C17" s="33" t="s">
        <v>26</v>
      </c>
      <c r="D17" s="91">
        <v>0</v>
      </c>
      <c r="E17" s="21"/>
      <c r="F17" s="34"/>
      <c r="G17" s="35">
        <v>0</v>
      </c>
      <c r="H17" s="42">
        <v>0</v>
      </c>
      <c r="I17" s="5"/>
    </row>
    <row r="18" spans="2:9" ht="20" customHeight="1" thickBot="1" x14ac:dyDescent="0.25">
      <c r="B18" s="85"/>
      <c r="C18" s="14" t="s">
        <v>27</v>
      </c>
      <c r="D18" s="90">
        <v>0.1</v>
      </c>
      <c r="E18" s="12" t="s">
        <v>28</v>
      </c>
      <c r="F18" s="45" t="s">
        <v>29</v>
      </c>
      <c r="G18" s="17">
        <v>0.1</v>
      </c>
      <c r="H18" s="43">
        <f>E23*G18</f>
        <v>0</v>
      </c>
      <c r="I18" s="5"/>
    </row>
    <row r="19" spans="2:9" ht="20" customHeight="1" thickBot="1" x14ac:dyDescent="0.25">
      <c r="B19" s="79" t="s">
        <v>6</v>
      </c>
      <c r="C19" s="80"/>
      <c r="D19" s="22"/>
      <c r="E19" s="23"/>
      <c r="F19" s="22"/>
      <c r="G19" s="24">
        <f>SUM(G5:G18)</f>
        <v>1</v>
      </c>
      <c r="H19" s="51">
        <f>SUM(H5:H18)</f>
        <v>90000</v>
      </c>
      <c r="I19" s="5"/>
    </row>
    <row r="20" spans="2:9" ht="15" customHeight="1" x14ac:dyDescent="0.2">
      <c r="B20" s="5"/>
      <c r="C20" s="5"/>
      <c r="D20" s="5"/>
      <c r="E20" s="5"/>
      <c r="F20" s="5"/>
      <c r="G20" s="5"/>
      <c r="H20" s="5"/>
      <c r="I20" s="5"/>
    </row>
    <row r="21" spans="2:9" ht="20" customHeight="1" x14ac:dyDescent="0.2">
      <c r="B21" s="5"/>
      <c r="C21" s="37" t="s">
        <v>7</v>
      </c>
      <c r="D21" s="5"/>
      <c r="E21" s="38">
        <v>100000</v>
      </c>
      <c r="F21" s="5"/>
      <c r="G21" s="5"/>
      <c r="H21" s="5"/>
      <c r="I21" s="5"/>
    </row>
    <row r="22" spans="2:9" ht="20" customHeight="1" x14ac:dyDescent="0.15"/>
    <row r="23" spans="2:9" ht="20" customHeight="1" x14ac:dyDescent="0.15"/>
    <row r="24" spans="2:9" ht="20" customHeight="1" x14ac:dyDescent="0.15"/>
    <row r="25" spans="2:9" ht="20" customHeight="1" x14ac:dyDescent="0.15"/>
    <row r="26" spans="2:9" ht="20" customHeight="1" x14ac:dyDescent="0.15"/>
    <row r="27" spans="2:9" ht="20" customHeight="1" x14ac:dyDescent="0.15"/>
    <row r="28" spans="2:9" ht="20" customHeight="1" x14ac:dyDescent="0.15"/>
    <row r="29" spans="2:9" ht="20" customHeight="1" x14ac:dyDescent="0.15"/>
    <row r="30" spans="2:9" ht="20" customHeight="1" x14ac:dyDescent="0.15"/>
    <row r="31" spans="2:9" ht="20" customHeight="1" x14ac:dyDescent="0.15"/>
  </sheetData>
  <mergeCells count="8">
    <mergeCell ref="B16:B18"/>
    <mergeCell ref="B19:C19"/>
    <mergeCell ref="B1:H2"/>
    <mergeCell ref="B3:E3"/>
    <mergeCell ref="B5:B9"/>
    <mergeCell ref="B11:B13"/>
    <mergeCell ref="C11:C12"/>
    <mergeCell ref="D11:D12"/>
  </mergeCells>
  <pageMargins left="0.7" right="0.7" top="0.78740157499999996" bottom="0.78740157499999996" header="0.3" footer="0.3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F9F53BB494F840ACC92E15957552E0" ma:contentTypeVersion="18" ma:contentTypeDescription="Vytvoří nový dokument" ma:contentTypeScope="" ma:versionID="359982a3d82a5ed7181c267e538befbd">
  <xsd:schema xmlns:xsd="http://www.w3.org/2001/XMLSchema" xmlns:xs="http://www.w3.org/2001/XMLSchema" xmlns:p="http://schemas.microsoft.com/office/2006/metadata/properties" xmlns:ns2="5e6c6bb9-4fdb-4153-b5c2-b1f303e94cd8" xmlns:ns3="b78b7939-5d89-4a97-99ad-a2d42dabfe29" targetNamespace="http://schemas.microsoft.com/office/2006/metadata/properties" ma:root="true" ma:fieldsID="9654c4f9f30244fdd4797a3d45b3b176" ns2:_="" ns3:_="">
    <xsd:import namespace="5e6c6bb9-4fdb-4153-b5c2-b1f303e94cd8"/>
    <xsd:import namespace="b78b7939-5d89-4a97-99ad-a2d42dabfe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Datuma_x010d_as" minOccurs="0"/>
                <xsd:element ref="ns2:Datuma_x010d_as1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c6bb9-4fdb-4153-b5c2-b1f303e94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7" nillable="true" ma:displayName="MediaLengthInSeconds" ma:description="" ma:internalName="MediaLengthInSeconds" ma:readOnly="true">
      <xsd:simpleType>
        <xsd:restriction base="dms:Unknown"/>
      </xsd:simpleType>
    </xsd:element>
    <xsd:element name="MediaServiceDateTaken" ma:index="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Datuma_x010d_as" ma:index="9" nillable="true" ma:displayName="Datum a čas" ma:format="DateOnly" ma:internalName="Datuma_x010d_as" ma:readOnly="false">
      <xsd:simpleType>
        <xsd:restriction base="dms:DateTime"/>
      </xsd:simpleType>
    </xsd:element>
    <xsd:element name="Datuma_x010d_as1" ma:index="10" nillable="true" ma:displayName="Datum a čas 1" ma:format="DateTime" ma:internalName="Datuma_x010d_as1" ma:readOnly="false">
      <xsd:simpleType>
        <xsd:restriction base="dms:DateTim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8b7939-5d89-4a97-99ad-a2d42dabfe2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dílí se s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3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uma_x010d_as xmlns="5e6c6bb9-4fdb-4153-b5c2-b1f303e94cd8" xsi:nil="true"/>
    <Datuma_x010d_as1 xmlns="5e6c6bb9-4fdb-4153-b5c2-b1f303e94cd8" xsi:nil="true"/>
  </documentManagement>
</p:properties>
</file>

<file path=customXml/itemProps1.xml><?xml version="1.0" encoding="utf-8"?>
<ds:datastoreItem xmlns:ds="http://schemas.openxmlformats.org/officeDocument/2006/customXml" ds:itemID="{C35B9C3A-A339-4560-A784-D8390AD57F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6c6bb9-4fdb-4153-b5c2-b1f303e94cd8"/>
    <ds:schemaRef ds:uri="b78b7939-5d89-4a97-99ad-a2d42dabfe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7E5F91-F06E-4327-B012-1149FEE62E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F3A0E5-34EA-4D74-A39A-123F62FF15B3}">
  <ds:schemaRefs>
    <ds:schemaRef ds:uri="http://schemas.microsoft.com/office/infopath/2007/PartnerControls"/>
    <ds:schemaRef ds:uri="http://schemas.microsoft.com/office/2006/documentManagement/types"/>
    <ds:schemaRef ds:uri="5e6c6bb9-4fdb-4153-b5c2-b1f303e94cd8"/>
    <ds:schemaRef ds:uri="http://purl.org/dc/terms/"/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b78b7939-5d89-4a97-99ad-a2d42dabfe2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RŘC1</vt:lpstr>
      <vt:lpstr>RŘC2 5+</vt:lpstr>
      <vt:lpstr>RŘC3 5+</vt:lpstr>
      <vt:lpstr>RŘC4 5+</vt:lpstr>
    </vt:vector>
  </TitlesOfParts>
  <Manager/>
  <Company>Česká spořitelna, a.s.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cen35817</dc:creator>
  <cp:keywords/>
  <dc:description/>
  <cp:lastModifiedBy>Al Saleh Mohamad</cp:lastModifiedBy>
  <cp:revision/>
  <dcterms:created xsi:type="dcterms:W3CDTF">2011-01-10T13:42:34Z</dcterms:created>
  <dcterms:modified xsi:type="dcterms:W3CDTF">2026-07-07T09:42:47Z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0x010100A6F9F53BB494F840ACC92E15957552E0</vt:lpwstr>
  </property>
  <property fmtid="{D5CDD505-2E9C-101B-9397-08002B2CF9AE}" pid="3" name="MSIP_Label_38939b85-7e40-4a1d-91e1-0e84c3b219d7_Enabled">
    <vt:lpwstr>true</vt:lpwstr>
  </property>
  <property fmtid="{D5CDD505-2E9C-101B-9397-08002B2CF9AE}" pid="4" name="MSIP_Label_38939b85-7e40-4a1d-91e1-0e84c3b219d7_Name">
    <vt:lpwstr>38939b85-7e40-4a1d-91e1-0e84c3b219d7</vt:lpwstr>
  </property>
  <property fmtid="{D5CDD505-2E9C-101B-9397-08002B2CF9AE}" pid="5" name="MSIP_Label_38939b85-7e40-4a1d-91e1-0e84c3b219d7_SetDate">
    <vt:lpwstr>2023-06-13T14:21:54Z</vt:lpwstr>
  </property>
  <property fmtid="{D5CDD505-2E9C-101B-9397-08002B2CF9AE}" pid="6" name="MSIP_Label_38939b85-7e40-4a1d-91e1-0e84c3b219d7_ContentBits">
    <vt:lpwstr>0</vt:lpwstr>
  </property>
  <property fmtid="{D5CDD505-2E9C-101B-9397-08002B2CF9AE}" pid="7" name="MSIP_Label_38939b85-7e40-4a1d-91e1-0e84c3b219d7_ActionId">
    <vt:lpwstr>13fe68f6-dfa0-4ff1-a273-1ffd7610a4d7</vt:lpwstr>
  </property>
  <property fmtid="{D5CDD505-2E9C-101B-9397-08002B2CF9AE}" pid="8" name="MSIP_Label_38939b85-7e40-4a1d-91e1-0e84c3b219d7_SiteId">
    <vt:lpwstr>3ad0376a-54d3-49a6-9e20-52de0a92fc89</vt:lpwstr>
  </property>
  <property fmtid="{D5CDD505-2E9C-101B-9397-08002B2CF9AE}" pid="9" name="MSIP_Label_38939b85-7e40-4a1d-91e1-0e84c3b219d7_Method">
    <vt:lpwstr>Standard</vt:lpwstr>
  </property>
</Properties>
</file>
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1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rstegroup-my.sharepoint.com/personal/malsaleh_csas_cz/Documents/Pracovní/Apky/Zpětná modelace/"/>
    </mc:Choice>
  </mc:AlternateContent>
  <xr:revisionPtr revIDLastSave="115" documentId="8_{BD77B8DD-DFF8-9F41-88C8-A35A499FD941}" xr6:coauthVersionLast="47" xr6:coauthVersionMax="47" xr10:uidLastSave="{20929805-6DF1-D142-B4D5-8E449B555F95}"/>
  <bookViews>
    <workbookView xWindow="0" yWindow="660" windowWidth="23260" windowHeight="12580" xr2:uid="{00000000-000D-0000-FFFF-FFFF00000000}"/>
  </bookViews>
  <sheets>
    <sheet name="RŘC1" sheetId="15" r:id="rId1"/>
    <sheet name="RŘC2 5+" sheetId="16" r:id="rId2"/>
    <sheet name="RŘC3 5+" sheetId="17" r:id="rId3"/>
    <sheet name="RŘC4 5+" sheetId="18" r:id="rId4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" i="16" l="1"/>
  <c r="H17" i="16"/>
  <c r="H18" i="18"/>
  <c r="H20" i="17"/>
  <c r="H6" i="17" l="1"/>
  <c r="H5" i="17"/>
  <c r="H7" i="17"/>
  <c r="H8" i="17"/>
  <c r="H21" i="17" s="1"/>
  <c r="H9" i="17"/>
  <c r="H10" i="17"/>
  <c r="H11" i="17"/>
  <c r="H13" i="17"/>
  <c r="H14" i="17"/>
  <c r="H15" i="17"/>
  <c r="H16" i="17"/>
  <c r="H18" i="17"/>
  <c r="H5" i="18"/>
  <c r="H6" i="18"/>
  <c r="H7" i="18"/>
  <c r="H8" i="18"/>
  <c r="H9" i="18"/>
  <c r="H11" i="18"/>
  <c r="H12" i="18"/>
  <c r="H13" i="18"/>
  <c r="H14" i="18"/>
  <c r="H16" i="18"/>
  <c r="H15" i="16"/>
  <c r="H12" i="16"/>
  <c r="H11" i="16"/>
  <c r="H9" i="16"/>
  <c r="H8" i="16"/>
  <c r="H7" i="16"/>
  <c r="H5" i="16"/>
  <c r="H18" i="16" s="1"/>
  <c r="H19" i="18" l="1"/>
</calcChain>
</file>

<file path=xl/sharedStrings.xml><?xml version="1.0" encoding="utf-8"?>
<sst xmlns="http://schemas.openxmlformats.org/spreadsheetml/2006/main" count="110" uniqueCount="49">
  <si>
    <t>BNP Paribas Funds Euro Money Market (LU0083138064)</t>
  </si>
  <si>
    <t>Doporučená alokace aktiv pro RŘC2 - Investiční horizont:  5 let a déle</t>
  </si>
  <si>
    <t>ISIN</t>
  </si>
  <si>
    <t>Váha</t>
  </si>
  <si>
    <t>Částka EUR</t>
  </si>
  <si>
    <t>ÚROKOVÁ SLOŽKA</t>
  </si>
  <si>
    <t>Nástroje peněžního trhu a krátkodobé dluhopisy</t>
  </si>
  <si>
    <t>Státní dluhopisy</t>
  </si>
  <si>
    <t>BNP Paribas Funds Euro Government Bond</t>
  </si>
  <si>
    <t>LU0111548326</t>
  </si>
  <si>
    <t>ESPA PORTFOLIO BOND EUROPE (VT) EUR</t>
  </si>
  <si>
    <t>AT0000673215</t>
  </si>
  <si>
    <t>Korporátní dluhopisy na investičním stupni</t>
  </si>
  <si>
    <t>Franklin European Corporate Bond Fund - A(acc)EUR</t>
  </si>
  <si>
    <t>LU0496369546</t>
  </si>
  <si>
    <t>Goldman Sachs Euro Fixed Income</t>
  </si>
  <si>
    <t>LU0546917773</t>
  </si>
  <si>
    <t>AKCIOVÁ SLOŽKA</t>
  </si>
  <si>
    <t>Akcie vyspělé trhy globální</t>
  </si>
  <si>
    <t>Fidelity Funds - Global Dividend Fund A-ACC-Euro</t>
  </si>
  <si>
    <t>LU0605515377</t>
  </si>
  <si>
    <t>ESPA STOCK BIOTEC (VT) EUR</t>
  </si>
  <si>
    <t>AT0000673165</t>
  </si>
  <si>
    <t>Akcie rozvíjející se trhy</t>
  </si>
  <si>
    <t>ALTERNATIVNÍ SLOŽKA</t>
  </si>
  <si>
    <t>Reality</t>
  </si>
  <si>
    <t>ESPA STOCK EUROPE-PROPERTY (VT) EUR</t>
  </si>
  <si>
    <t>AT0000613617</t>
  </si>
  <si>
    <t>Komodity</t>
  </si>
  <si>
    <t>Alternativní strategie</t>
  </si>
  <si>
    <t>Portfolio celkem</t>
  </si>
  <si>
    <t>Celková částka v EUR</t>
  </si>
  <si>
    <t>Doporučená alokace aktiv pro RŘC3 - Investiční horizont:  5 let a déle</t>
  </si>
  <si>
    <t>High Yield dluhopisy</t>
  </si>
  <si>
    <t>ESPA BOND EUROPE-HIGH YIELD EUR</t>
  </si>
  <si>
    <t>AT0000673280</t>
  </si>
  <si>
    <t>Emerging markets dluhopisy</t>
  </si>
  <si>
    <t>ESPA STOCK GLOBAL-EMERGING MARKETS (VT) EUR</t>
  </si>
  <si>
    <t>AT0000A00GK1</t>
  </si>
  <si>
    <t>Akcie rozvíjející se trhy CEE</t>
  </si>
  <si>
    <t>Doporučená alokace aktiv pro RŘC4 - Investiční horizont:  5 let a déle</t>
  </si>
  <si>
    <t>AT0000A07YK9</t>
  </si>
  <si>
    <t>ERSTE Stock Real Estate</t>
  </si>
  <si>
    <t xml:space="preserve">Pro Rizikovost řešení cíle 1 (RŘC1) </t>
  </si>
  <si>
    <t>Produktové naplnění pro RŘC1</t>
  </si>
  <si>
    <t>100`%</t>
  </si>
  <si>
    <t>Modelové portfolio pro Rizikovost řešení cíle 4 v EUR</t>
  </si>
  <si>
    <t>Modelové portfolio pro Rizikovost řešení cíle 3 v EUR</t>
  </si>
  <si>
    <t>Modelové portfolio pro Rizikovost řešení cíle 2 v 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</si>
</sst>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name val="Arial"/>
      <charset val="238"/>
    </font>
    <font>
      <u/>
      <sz val="10"/>
      <color indexed="12"/>
      <name val="Arial"/>
      <family val="2"/>
      <charset val="238"/>
    </font>
    <font>
      <sz val="10"/>
      <name val="Arial"/>
      <family val="2"/>
      <charset val="238"/>
    </font>
    <font>
      <sz val="14"/>
      <name val="Arial"/>
      <family val="2"/>
      <charset val="238"/>
    </font>
    <font>
      <b/>
      <sz val="8"/>
      <name val="Calibri"/>
      <family val="2"/>
      <charset val="238"/>
      <scheme val="minor"/>
    </font>
    <font>
      <sz val="10"/>
      <name val="Calibri"/>
      <family val="2"/>
      <charset val="238"/>
      <scheme val="minor"/>
    </font>
    <font>
      <b/>
      <sz val="10"/>
      <color indexed="9"/>
      <name val="Calibri"/>
      <family val="2"/>
      <charset val="238"/>
      <scheme val="minor"/>
    </font>
    <font>
      <b/>
      <sz val="10"/>
      <name val="Calibri"/>
      <family val="2"/>
      <charset val="238"/>
      <scheme val="minor"/>
    </font>
    <font>
      <sz val="8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  <font>
      <b/>
      <sz val="14"/>
      <name val="Calibri"/>
      <family val="2"/>
      <charset val="238"/>
      <scheme val="minor"/>
    </font>
    <font>
      <b/>
      <sz val="12"/>
      <color theme="0"/>
      <name val="Calibri"/>
      <family val="2"/>
      <charset val="238"/>
      <scheme val="minor"/>
    </font>
    <font>
      <u/>
      <sz val="8"/>
      <color indexed="12"/>
      <name val="Calibri"/>
      <family val="2"/>
      <charset val="238"/>
      <scheme val="minor"/>
    </font>
    <font>
      <sz val="8"/>
      <color rgb="FF0000FF"/>
      <name val="Calibri"/>
      <family val="2"/>
      <charset val="238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5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9" tint="0.39997558519241921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25">
    <xf numFmtId="0" fontId="0" fillId="0" borderId="0" xfId="0"/>
    <xf numFmtId="9" fontId="4" fillId="0" borderId="8" xfId="0" applyNumberFormat="1" applyFont="1" applyBorder="1" applyAlignment="1">
      <alignment horizontal="center" vertical="center"/>
    </xf>
    <xf numFmtId="0" fontId="4" fillId="3" borderId="7" xfId="0" applyFont="1" applyFill="1" applyBorder="1" applyAlignment="1">
      <alignment vertical="center"/>
    </xf>
    <xf numFmtId="0" fontId="4" fillId="4" borderId="7" xfId="0" applyFont="1" applyFill="1" applyBorder="1" applyAlignment="1">
      <alignment vertical="center"/>
    </xf>
    <xf numFmtId="0" fontId="4" fillId="5" borderId="7" xfId="0" applyFont="1" applyFill="1" applyBorder="1" applyAlignment="1">
      <alignment vertical="center"/>
    </xf>
    <xf numFmtId="0" fontId="5" fillId="0" borderId="0" xfId="0" applyFont="1"/>
    <xf numFmtId="0" fontId="6" fillId="2" borderId="5" xfId="0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vertical="center"/>
    </xf>
    <xf numFmtId="0" fontId="4" fillId="3" borderId="7" xfId="0" applyFont="1" applyFill="1" applyBorder="1" applyAlignment="1">
      <alignment horizontal="center" vertical="center"/>
    </xf>
    <xf numFmtId="0" fontId="7" fillId="4" borderId="9" xfId="0" applyFont="1" applyFill="1" applyBorder="1" applyAlignment="1">
      <alignment vertical="center"/>
    </xf>
    <xf numFmtId="0" fontId="4" fillId="4" borderId="7" xfId="0" applyFont="1" applyFill="1" applyBorder="1" applyAlignment="1">
      <alignment horizontal="center" vertical="center"/>
    </xf>
    <xf numFmtId="0" fontId="8" fillId="4" borderId="7" xfId="0" applyFont="1" applyFill="1" applyBorder="1" applyAlignment="1">
      <alignment horizontal="center" vertical="center"/>
    </xf>
    <xf numFmtId="0" fontId="4" fillId="0" borderId="8" xfId="0" applyFont="1" applyBorder="1" applyAlignment="1">
      <alignment vertical="center"/>
    </xf>
    <xf numFmtId="0" fontId="8" fillId="0" borderId="8" xfId="0" applyFont="1" applyBorder="1" applyAlignment="1">
      <alignment horizontal="center" vertical="center"/>
    </xf>
    <xf numFmtId="0" fontId="4" fillId="0" borderId="10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8" fillId="0" borderId="12" xfId="0" applyFont="1" applyBorder="1" applyAlignment="1">
      <alignment horizontal="center" vertical="center"/>
    </xf>
    <xf numFmtId="9" fontId="4" fillId="0" borderId="12" xfId="0" applyNumberFormat="1" applyFont="1" applyBorder="1" applyAlignment="1">
      <alignment horizontal="center" vertical="center"/>
    </xf>
    <xf numFmtId="0" fontId="7" fillId="5" borderId="9" xfId="0" applyFont="1" applyFill="1" applyBorder="1" applyAlignment="1">
      <alignment vertical="center"/>
    </xf>
    <xf numFmtId="0" fontId="4" fillId="5" borderId="7" xfId="0" applyFont="1" applyFill="1" applyBorder="1" applyAlignment="1">
      <alignment horizontal="center" vertical="center"/>
    </xf>
    <xf numFmtId="0" fontId="8" fillId="5" borderId="7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left" vertical="center"/>
    </xf>
    <xf numFmtId="0" fontId="8" fillId="6" borderId="14" xfId="0" applyFont="1" applyFill="1" applyBorder="1" applyAlignment="1">
      <alignment horizontal="center" vertical="center"/>
    </xf>
    <xf numFmtId="0" fontId="8" fillId="6" borderId="14" xfId="0" applyFont="1" applyFill="1" applyBorder="1" applyAlignment="1">
      <alignment vertical="center"/>
    </xf>
    <xf numFmtId="9" fontId="4" fillId="6" borderId="12" xfId="0" applyNumberFormat="1" applyFont="1" applyFill="1" applyBorder="1" applyAlignment="1">
      <alignment horizontal="center" vertical="center"/>
    </xf>
    <xf numFmtId="0" fontId="4" fillId="0" borderId="15" xfId="0" applyFont="1" applyBorder="1" applyAlignment="1">
      <alignment horizontal="left" vertical="center" wrapText="1"/>
    </xf>
    <xf numFmtId="0" fontId="4" fillId="0" borderId="16" xfId="0" applyFont="1" applyBorder="1" applyAlignment="1">
      <alignment vertical="center"/>
    </xf>
    <xf numFmtId="0" fontId="8" fillId="0" borderId="16" xfId="0" applyFont="1" applyBorder="1" applyAlignment="1">
      <alignment horizontal="center" vertical="center"/>
    </xf>
    <xf numFmtId="9" fontId="4" fillId="0" borderId="16" xfId="0" applyNumberFormat="1" applyFont="1" applyBorder="1" applyAlignment="1">
      <alignment horizontal="center" vertical="center"/>
    </xf>
    <xf numFmtId="0" fontId="9" fillId="0" borderId="0" xfId="0" applyFont="1"/>
    <xf numFmtId="0" fontId="8" fillId="0" borderId="15" xfId="0" applyFont="1" applyBorder="1" applyAlignment="1">
      <alignment horizontal="center" vertical="center"/>
    </xf>
    <xf numFmtId="9" fontId="4" fillId="0" borderId="15" xfId="0" applyNumberFormat="1" applyFont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 wrapText="1"/>
    </xf>
    <xf numFmtId="0" fontId="4" fillId="0" borderId="15" xfId="0" applyFont="1" applyBorder="1" applyAlignment="1">
      <alignment vertical="center"/>
    </xf>
    <xf numFmtId="0" fontId="8" fillId="0" borderId="13" xfId="0" applyFont="1" applyBorder="1" applyAlignment="1">
      <alignment horizontal="center" vertical="center"/>
    </xf>
    <xf numFmtId="9" fontId="4" fillId="0" borderId="13" xfId="0" applyNumberFormat="1" applyFont="1" applyBorder="1" applyAlignment="1">
      <alignment horizontal="center" vertical="center"/>
    </xf>
    <xf numFmtId="0" fontId="2" fillId="0" borderId="0" xfId="0" applyFont="1"/>
    <xf numFmtId="0" fontId="11" fillId="7" borderId="0" xfId="0" applyFont="1" applyFill="1" applyAlignment="1">
      <alignment horizontal="left" vertical="center"/>
    </xf>
    <xf numFmtId="3" fontId="11" fillId="7" borderId="0" xfId="0" applyNumberFormat="1" applyFont="1" applyFill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3" fontId="4" fillId="0" borderId="2" xfId="0" applyNumberFormat="1" applyFont="1" applyBorder="1" applyAlignment="1">
      <alignment horizontal="center" vertical="center"/>
    </xf>
    <xf numFmtId="3" fontId="4" fillId="0" borderId="4" xfId="0" applyNumberFormat="1" applyFont="1" applyBorder="1" applyAlignment="1">
      <alignment horizontal="center" vertical="center"/>
    </xf>
    <xf numFmtId="3" fontId="4" fillId="0" borderId="17" xfId="0" applyNumberFormat="1" applyFont="1" applyBorder="1" applyAlignment="1">
      <alignment horizontal="center" vertical="center"/>
    </xf>
    <xf numFmtId="3" fontId="4" fillId="0" borderId="5" xfId="0" applyNumberFormat="1" applyFont="1" applyBorder="1" applyAlignment="1">
      <alignment horizontal="center" vertical="center"/>
    </xf>
    <xf numFmtId="0" fontId="4" fillId="0" borderId="22" xfId="0" applyFont="1" applyBorder="1" applyAlignment="1">
      <alignment vertical="center"/>
    </xf>
    <xf numFmtId="0" fontId="8" fillId="0" borderId="22" xfId="0" applyFont="1" applyBorder="1" applyAlignment="1">
      <alignment horizontal="center" vertical="center"/>
    </xf>
    <xf numFmtId="9" fontId="4" fillId="0" borderId="22" xfId="0" applyNumberFormat="1" applyFont="1" applyBorder="1" applyAlignment="1">
      <alignment horizontal="center" vertical="center"/>
    </xf>
    <xf numFmtId="3" fontId="4" fillId="0" borderId="3" xfId="0" applyNumberFormat="1" applyFont="1" applyBorder="1" applyAlignment="1">
      <alignment horizontal="center" vertical="center"/>
    </xf>
    <xf numFmtId="0" fontId="4" fillId="3" borderId="23" xfId="0" applyFont="1" applyFill="1" applyBorder="1" applyAlignment="1">
      <alignment vertical="center"/>
    </xf>
    <xf numFmtId="0" fontId="4" fillId="4" borderId="23" xfId="0" applyFont="1" applyFill="1" applyBorder="1" applyAlignment="1">
      <alignment vertical="center"/>
    </xf>
    <xf numFmtId="0" fontId="4" fillId="5" borderId="23" xfId="0" applyFont="1" applyFill="1" applyBorder="1" applyAlignment="1">
      <alignment vertical="center"/>
    </xf>
    <xf numFmtId="3" fontId="4" fillId="6" borderId="5" xfId="0" applyNumberFormat="1" applyFont="1" applyFill="1" applyBorder="1" applyAlignment="1">
      <alignment horizontal="center" vertical="center"/>
    </xf>
    <xf numFmtId="0" fontId="4" fillId="0" borderId="13" xfId="0" applyFont="1" applyBorder="1" applyAlignment="1">
      <alignment vertical="center"/>
    </xf>
    <xf numFmtId="9" fontId="7" fillId="8" borderId="24" xfId="0" applyNumberFormat="1" applyFont="1" applyFill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3" fontId="4" fillId="0" borderId="25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vertical="center"/>
    </xf>
    <xf numFmtId="0" fontId="4" fillId="0" borderId="8" xfId="0" applyFont="1" applyBorder="1" applyAlignment="1">
      <alignment horizontal="left" vertical="center" wrapText="1"/>
    </xf>
    <xf numFmtId="0" fontId="4" fillId="0" borderId="22" xfId="0" applyFont="1" applyBorder="1" applyAlignment="1">
      <alignment horizontal="left" vertical="center" wrapText="1"/>
    </xf>
    <xf numFmtId="0" fontId="8" fillId="0" borderId="20" xfId="0" applyFont="1" applyBorder="1" applyAlignment="1">
      <alignment horizontal="center" vertical="center"/>
    </xf>
    <xf numFmtId="3" fontId="4" fillId="0" borderId="26" xfId="0" applyNumberFormat="1" applyFont="1" applyBorder="1" applyAlignment="1">
      <alignment horizontal="center" vertical="center"/>
    </xf>
    <xf numFmtId="0" fontId="4" fillId="0" borderId="27" xfId="0" applyFont="1" applyBorder="1" applyAlignment="1">
      <alignment horizontal="left" vertical="center" wrapText="1"/>
    </xf>
    <xf numFmtId="0" fontId="8" fillId="0" borderId="27" xfId="0" applyFont="1" applyBorder="1" applyAlignment="1">
      <alignment horizontal="center" vertical="center"/>
    </xf>
    <xf numFmtId="9" fontId="4" fillId="0" borderId="27" xfId="0" applyNumberFormat="1" applyFont="1" applyBorder="1" applyAlignment="1">
      <alignment horizontal="center" vertical="center"/>
    </xf>
    <xf numFmtId="0" fontId="4" fillId="0" borderId="28" xfId="0" applyFont="1" applyBorder="1" applyAlignment="1">
      <alignment vertical="center"/>
    </xf>
    <xf numFmtId="0" fontId="8" fillId="0" borderId="28" xfId="0" applyFont="1" applyBorder="1" applyAlignment="1">
      <alignment horizontal="center" vertical="center"/>
    </xf>
    <xf numFmtId="9" fontId="4" fillId="0" borderId="28" xfId="0" applyNumberFormat="1" applyFont="1" applyBorder="1" applyAlignment="1">
      <alignment horizontal="center" vertical="center"/>
    </xf>
    <xf numFmtId="3" fontId="4" fillId="0" borderId="29" xfId="0" applyNumberFormat="1" applyFont="1" applyBorder="1" applyAlignment="1">
      <alignment horizontal="center" vertical="center"/>
    </xf>
    <xf numFmtId="3" fontId="4" fillId="0" borderId="6" xfId="0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 wrapText="1"/>
    </xf>
    <xf numFmtId="0" fontId="10" fillId="0" borderId="16" xfId="0" applyFont="1" applyBorder="1"/>
    <xf numFmtId="0" fontId="9" fillId="0" borderId="16" xfId="0" applyFont="1" applyBorder="1"/>
    <xf numFmtId="0" fontId="10" fillId="0" borderId="0" xfId="0" applyFont="1"/>
    <xf numFmtId="9" fontId="4" fillId="0" borderId="31" xfId="0" applyNumberFormat="1" applyFont="1" applyBorder="1" applyAlignment="1">
      <alignment horizontal="center" vertical="center"/>
    </xf>
    <xf numFmtId="9" fontId="4" fillId="0" borderId="11" xfId="0" applyNumberFormat="1" applyFont="1" applyBorder="1" applyAlignment="1">
      <alignment horizontal="center" vertical="center"/>
    </xf>
    <xf numFmtId="9" fontId="4" fillId="0" borderId="32" xfId="0" applyNumberFormat="1" applyFont="1" applyBorder="1" applyAlignment="1">
      <alignment horizontal="center" vertical="center"/>
    </xf>
    <xf numFmtId="9" fontId="4" fillId="3" borderId="7" xfId="0" applyNumberFormat="1" applyFont="1" applyFill="1" applyBorder="1" applyAlignment="1">
      <alignment horizontal="center" vertical="center"/>
    </xf>
    <xf numFmtId="9" fontId="4" fillId="4" borderId="7" xfId="0" applyNumberFormat="1" applyFont="1" applyFill="1" applyBorder="1" applyAlignment="1">
      <alignment horizontal="center" vertical="center"/>
    </xf>
    <xf numFmtId="9" fontId="4" fillId="5" borderId="7" xfId="0" applyNumberFormat="1" applyFont="1" applyFill="1" applyBorder="1" applyAlignment="1">
      <alignment horizontal="center" vertical="center"/>
    </xf>
    <xf numFmtId="9" fontId="4" fillId="5" borderId="18" xfId="0" applyNumberFormat="1" applyFont="1" applyFill="1" applyBorder="1" applyAlignment="1">
      <alignment horizontal="center" vertical="center"/>
    </xf>
    <xf numFmtId="9" fontId="4" fillId="4" borderId="18" xfId="0" applyNumberFormat="1" applyFont="1" applyFill="1" applyBorder="1" applyAlignment="1">
      <alignment horizontal="center" vertical="center"/>
    </xf>
    <xf numFmtId="9" fontId="4" fillId="3" borderId="18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12" fillId="0" borderId="0" xfId="1" applyFont="1" applyFill="1" applyBorder="1" applyAlignment="1" applyProtection="1">
      <alignment vertical="center"/>
    </xf>
    <xf numFmtId="0" fontId="13" fillId="0" borderId="0" xfId="0" applyFont="1" applyAlignment="1">
      <alignment vertical="center"/>
    </xf>
    <xf numFmtId="0" fontId="6" fillId="0" borderId="0" xfId="0" applyFont="1" applyAlignment="1">
      <alignment horizontal="center" vertical="center" wrapText="1"/>
    </xf>
    <xf numFmtId="0" fontId="12" fillId="0" borderId="0" xfId="1" applyFont="1" applyFill="1" applyBorder="1" applyAlignment="1" applyProtection="1">
      <alignment horizontal="left" vertical="center"/>
    </xf>
    <xf numFmtId="0" fontId="8" fillId="0" borderId="0" xfId="0" applyFont="1" applyAlignment="1">
      <alignment vertical="center"/>
    </xf>
    <xf numFmtId="9" fontId="7" fillId="5" borderId="19" xfId="0" applyNumberFormat="1" applyFont="1" applyFill="1" applyBorder="1" applyAlignment="1">
      <alignment horizontal="center" vertical="center"/>
    </xf>
    <xf numFmtId="9" fontId="7" fillId="5" borderId="21" xfId="0" applyNumberFormat="1" applyFont="1" applyFill="1" applyBorder="1" applyAlignment="1">
      <alignment horizontal="center" vertical="center"/>
    </xf>
    <xf numFmtId="0" fontId="7" fillId="6" borderId="10" xfId="0" applyFont="1" applyFill="1" applyBorder="1" applyAlignment="1">
      <alignment horizontal="left" vertical="center"/>
    </xf>
    <xf numFmtId="0" fontId="7" fillId="6" borderId="14" xfId="0" applyFont="1" applyFill="1" applyBorder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9" fontId="7" fillId="3" borderId="19" xfId="0" applyNumberFormat="1" applyFont="1" applyFill="1" applyBorder="1" applyAlignment="1">
      <alignment horizontal="center" vertical="center"/>
    </xf>
    <xf numFmtId="9" fontId="7" fillId="3" borderId="21" xfId="0" applyNumberFormat="1" applyFont="1" applyFill="1" applyBorder="1" applyAlignment="1">
      <alignment horizontal="center" vertical="center"/>
    </xf>
    <xf numFmtId="9" fontId="7" fillId="8" borderId="19" xfId="0" applyNumberFormat="1" applyFont="1" applyFill="1" applyBorder="1" applyAlignment="1">
      <alignment horizontal="center" vertical="center"/>
    </xf>
    <xf numFmtId="0" fontId="4" fillId="0" borderId="9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9" fontId="4" fillId="0" borderId="31" xfId="0" applyNumberFormat="1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10" fillId="0" borderId="16" xfId="0" applyFont="1" applyBorder="1" applyAlignment="1">
      <alignment horizontal="left" vertical="top" wrapText="1"/>
    </xf>
    <xf numFmtId="0" fontId="3" fillId="0" borderId="16" xfId="0" applyFont="1" applyBorder="1" applyAlignment="1">
      <alignment horizontal="left" vertical="top" wrapText="1"/>
    </xf>
    <xf numFmtId="0" fontId="10" fillId="0" borderId="16" xfId="0" applyFont="1" applyBorder="1"/>
    <xf numFmtId="0" fontId="0" fillId="0" borderId="16" xfId="0" applyBorder="1"/>
    <xf numFmtId="0" fontId="10" fillId="0" borderId="0" xfId="0" applyFont="1"/>
    <xf numFmtId="0" fontId="0" fillId="0" borderId="0" xfId="0"/>
    <xf numFmtId="9" fontId="7" fillId="5" borderId="24" xfId="0" applyNumberFormat="1" applyFont="1" applyFill="1" applyBorder="1" applyAlignment="1">
      <alignment horizontal="center" vertical="center"/>
    </xf>
    <xf numFmtId="9" fontId="7" fillId="3" borderId="24" xfId="0" applyNumberFormat="1" applyFont="1" applyFill="1" applyBorder="1" applyAlignment="1">
      <alignment horizontal="center" vertical="center"/>
    </xf>
    <xf numFmtId="9" fontId="7" fillId="3" borderId="30" xfId="0" applyNumberFormat="1" applyFont="1" applyFill="1" applyBorder="1" applyAlignment="1">
      <alignment horizontal="center" vertical="center"/>
    </xf>
    <xf numFmtId="0" fontId="4" fillId="0" borderId="9" xfId="0" applyFont="1" applyBorder="1" applyAlignment="1">
      <alignment horizontal="left" vertical="center" wrapText="1"/>
    </xf>
    <xf numFmtId="0" fontId="4" fillId="0" borderId="30" xfId="0" applyFont="1" applyBorder="1" applyAlignment="1">
      <alignment horizontal="left" vertical="center" wrapText="1"/>
    </xf>
    <xf numFmtId="9" fontId="4" fillId="0" borderId="7" xfId="0" applyNumberFormat="1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30" xfId="0" applyFont="1" applyBorder="1" applyAlignment="1">
      <alignment horizontal="left" vertical="center"/>
    </xf>
    <xf numFmtId="0" fontId="4" fillId="0" borderId="33" xfId="0" applyFont="1" applyBorder="1" applyAlignment="1">
      <alignment horizontal="center" vertical="center"/>
    </xf>
    <xf numFmtId="9" fontId="4" fillId="0" borderId="14" xfId="0" applyNumberFormat="1" applyFont="1" applyBorder="1" applyAlignment="1">
      <alignment horizontal="center" vertical="center"/>
    </xf>
    <xf numFmtId="9" fontId="9" fillId="0" borderId="16" xfId="0" applyNumberFormat="1" applyFont="1" applyBorder="1"/>
  </cellXfs>
  <cellStyles count="2">
    <cellStyle name="Hypertextový odkaz" xfId="1" builtinId="8"/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723899</xdr:colOff>
      <xdr:row>20</xdr:row>
      <xdr:rowOff>19050</xdr:rowOff>
    </xdr:from>
    <xdr:to>
      <xdr:col>7</xdr:col>
      <xdr:colOff>723899</xdr:colOff>
      <xdr:row>22</xdr:row>
      <xdr:rowOff>225413</xdr:rowOff>
    </xdr:to>
    <xdr:pic>
      <xdr:nvPicPr>
        <xdr:cNvPr id="3" name="Obrázek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8999" y="4972050"/>
          <a:ext cx="1362075" cy="6978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571500</xdr:colOff>
      <xdr:row>22</xdr:row>
      <xdr:rowOff>28575</xdr:rowOff>
    </xdr:from>
    <xdr:to>
      <xdr:col>7</xdr:col>
      <xdr:colOff>685800</xdr:colOff>
      <xdr:row>24</xdr:row>
      <xdr:rowOff>231128</xdr:rowOff>
    </xdr:to>
    <xdr:pic>
      <xdr:nvPicPr>
        <xdr:cNvPr id="4" name="Obrázek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91400" y="5324475"/>
          <a:ext cx="1362075" cy="6978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657225</xdr:colOff>
      <xdr:row>21</xdr:row>
      <xdr:rowOff>19050</xdr:rowOff>
    </xdr:from>
    <xdr:to>
      <xdr:col>7</xdr:col>
      <xdr:colOff>695325</xdr:colOff>
      <xdr:row>23</xdr:row>
      <xdr:rowOff>221603</xdr:rowOff>
    </xdr:to>
    <xdr:pic>
      <xdr:nvPicPr>
        <xdr:cNvPr id="3" name="Obrázek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39025" y="5029200"/>
          <a:ext cx="1362075" cy="6978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O8"/>
  <sheetViews>
    <sheetView tabSelected="1" workbookViewId="0">
      <selection activeCell="F9" sqref="F9"/>
    </sheetView>
  </sheetViews>
  <sheetFormatPr baseColWidth="10" defaultColWidth="9.1640625" defaultRowHeight="15" x14ac:dyDescent="0.2"/>
  <cols>
    <col min="1" max="5" width="9.1640625" style="29"/>
    <col min="6" max="6" width="13.5" style="29" customWidth="1"/>
    <col min="7" max="16384" width="9.1640625" style="29"/>
  </cols>
  <sheetData>
    <row r="3" spans="2:15" x14ac:dyDescent="0.2">
      <c r="B3" s="108" t="s">
        <v>43</v>
      </c>
      <c r="C3" s="109"/>
      <c r="D3" s="109"/>
      <c r="E3" s="109"/>
      <c r="F3" s="109"/>
      <c r="G3" s="109"/>
      <c r="H3" s="109"/>
      <c r="I3" s="109"/>
      <c r="J3" s="109"/>
      <c r="K3" s="109"/>
      <c r="L3" s="109"/>
      <c r="M3" s="109"/>
      <c r="N3" s="109"/>
      <c r="O3" s="109"/>
    </row>
    <row r="4" spans="2:15" x14ac:dyDescent="0.2">
      <c r="B4" s="109"/>
      <c r="C4" s="109"/>
      <c r="D4" s="109"/>
      <c r="E4" s="109"/>
      <c r="F4" s="109"/>
      <c r="G4" s="109"/>
      <c r="H4" s="109"/>
      <c r="I4" s="109"/>
      <c r="J4" s="109"/>
      <c r="K4" s="109"/>
      <c r="L4" s="109"/>
      <c r="M4" s="109"/>
      <c r="N4" s="109"/>
      <c r="O4" s="109"/>
    </row>
    <row r="5" spans="2:15" x14ac:dyDescent="0.2">
      <c r="B5" s="109"/>
      <c r="C5" s="109"/>
      <c r="D5" s="109"/>
      <c r="E5" s="109"/>
      <c r="F5" s="109"/>
      <c r="G5" s="109"/>
      <c r="H5" s="109"/>
      <c r="I5" s="109"/>
      <c r="J5" s="109"/>
      <c r="K5" s="109"/>
      <c r="L5" s="109"/>
      <c r="M5" s="109"/>
      <c r="N5" s="109"/>
      <c r="O5" s="109"/>
    </row>
    <row r="6" spans="2:15" x14ac:dyDescent="0.2">
      <c r="B6" s="109"/>
      <c r="C6" s="109"/>
      <c r="D6" s="109"/>
      <c r="E6" s="109"/>
      <c r="F6" s="109"/>
      <c r="G6" s="109"/>
      <c r="H6" s="109"/>
      <c r="I6" s="109"/>
      <c r="J6" s="109"/>
      <c r="K6" s="109"/>
      <c r="L6" s="109"/>
      <c r="M6" s="109"/>
      <c r="N6" s="109"/>
      <c r="O6" s="109"/>
    </row>
    <row r="7" spans="2:15" ht="19" x14ac:dyDescent="0.25">
      <c r="B7" s="74" t="s">
        <v>44</v>
      </c>
      <c r="C7" s="75"/>
      <c r="D7" s="75"/>
      <c r="E7" s="75"/>
      <c r="F7" s="124">
        <v>1</v>
      </c>
      <c r="G7" s="110" t="s">
        <v>0</v>
      </c>
      <c r="H7" s="111"/>
      <c r="I7" s="111"/>
      <c r="J7" s="111"/>
      <c r="K7" s="111"/>
      <c r="L7" s="111"/>
      <c r="M7" s="111"/>
      <c r="N7" s="111"/>
      <c r="O7" s="111"/>
    </row>
    <row r="8" spans="2:15" ht="19" x14ac:dyDescent="0.25">
      <c r="B8" s="76"/>
      <c r="G8" s="112"/>
      <c r="H8" s="113"/>
      <c r="I8" s="113"/>
      <c r="J8" s="113"/>
      <c r="K8" s="113"/>
      <c r="L8" s="113"/>
      <c r="M8" s="113"/>
      <c r="N8" s="113"/>
      <c r="O8" s="113"/>
    </row>
  </sheetData>
  <mergeCells count="3">
    <mergeCell ref="B3:O6"/>
    <mergeCell ref="G7:O7"/>
    <mergeCell ref="G8:O8"/>
  </mergeCells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20"/>
  <sheetViews>
    <sheetView topLeftCell="A11" workbookViewId="0">
      <selection activeCell="B3" sqref="B3:E3"/>
    </sheetView>
  </sheetViews>
  <sheetFormatPr baseColWidth="10" defaultColWidth="9.1640625" defaultRowHeight="20" customHeight="1" x14ac:dyDescent="0.2"/>
  <cols>
    <col min="1" max="2" width="9.1640625" style="5"/>
    <col min="3" max="3" width="33.33203125" style="5" bestFit="1" customWidth="1"/>
    <col min="4" max="4" width="9.1640625" style="5"/>
    <col min="5" max="5" width="37" style="5" bestFit="1" customWidth="1"/>
    <col min="6" max="6" width="11.33203125" style="5" bestFit="1" customWidth="1"/>
    <col min="7" max="7" width="9.1640625" style="5"/>
    <col min="8" max="8" width="10.83203125" style="5" customWidth="1"/>
    <col min="9" max="9" width="3.83203125" style="5" customWidth="1"/>
    <col min="10" max="10" width="11.5" style="5" customWidth="1"/>
    <col min="11" max="16384" width="9.1640625" style="5"/>
  </cols>
  <sheetData>
    <row r="1" spans="2:10" ht="20" customHeight="1" x14ac:dyDescent="0.2">
      <c r="B1" s="96" t="s">
        <v>48</v>
      </c>
      <c r="C1" s="96"/>
      <c r="D1" s="96"/>
      <c r="E1" s="96"/>
      <c r="F1" s="96"/>
      <c r="G1" s="96"/>
      <c r="H1" s="96"/>
    </row>
    <row r="2" spans="2:10" ht="20" customHeight="1" thickBot="1" x14ac:dyDescent="0.25">
      <c r="B2" s="97"/>
      <c r="C2" s="97"/>
      <c r="D2" s="97"/>
      <c r="E2" s="97"/>
      <c r="F2" s="97"/>
      <c r="G2" s="97"/>
      <c r="H2" s="97"/>
    </row>
    <row r="3" spans="2:10" ht="20" customHeight="1" thickBot="1" x14ac:dyDescent="0.25">
      <c r="B3" s="98" t="s">
        <v>1</v>
      </c>
      <c r="C3" s="99"/>
      <c r="D3" s="99"/>
      <c r="E3" s="100"/>
      <c r="F3" s="32" t="s">
        <v>2</v>
      </c>
      <c r="G3" s="32" t="s">
        <v>3</v>
      </c>
      <c r="H3" s="6" t="s">
        <v>4</v>
      </c>
      <c r="J3" s="89"/>
    </row>
    <row r="4" spans="2:10" ht="20" customHeight="1" thickBot="1" x14ac:dyDescent="0.25">
      <c r="B4" s="7" t="s">
        <v>5</v>
      </c>
      <c r="C4" s="2"/>
      <c r="D4" s="8"/>
      <c r="E4" s="2"/>
      <c r="F4" s="8"/>
      <c r="G4" s="85">
        <v>0.7</v>
      </c>
      <c r="H4" s="48"/>
      <c r="J4" s="87"/>
    </row>
    <row r="5" spans="2:10" ht="20" customHeight="1" thickBot="1" x14ac:dyDescent="0.25">
      <c r="B5" s="115">
        <v>0.7</v>
      </c>
      <c r="C5" s="71" t="s">
        <v>6</v>
      </c>
      <c r="D5" s="77">
        <v>0</v>
      </c>
      <c r="E5" s="33"/>
      <c r="F5" s="30"/>
      <c r="G5" s="33"/>
      <c r="H5" s="41">
        <f>E20*G5</f>
        <v>0</v>
      </c>
      <c r="J5" s="87"/>
    </row>
    <row r="6" spans="2:10" ht="20" customHeight="1" x14ac:dyDescent="0.2">
      <c r="B6" s="115"/>
      <c r="C6" s="104" t="s">
        <v>7</v>
      </c>
      <c r="D6" s="106">
        <v>0.5</v>
      </c>
      <c r="E6" s="12" t="s">
        <v>8</v>
      </c>
      <c r="F6" s="13" t="s">
        <v>9</v>
      </c>
      <c r="G6" s="1">
        <v>0.2</v>
      </c>
      <c r="H6" s="39">
        <v>20000</v>
      </c>
      <c r="J6" s="87"/>
    </row>
    <row r="7" spans="2:10" ht="20" customHeight="1" thickBot="1" x14ac:dyDescent="0.25">
      <c r="B7" s="115"/>
      <c r="C7" s="105"/>
      <c r="D7" s="107"/>
      <c r="E7" s="26" t="s">
        <v>10</v>
      </c>
      <c r="F7" s="27" t="s">
        <v>11</v>
      </c>
      <c r="G7" s="28">
        <v>0.3</v>
      </c>
      <c r="H7" s="40">
        <f>E20*G7</f>
        <v>30000</v>
      </c>
      <c r="J7" s="87"/>
    </row>
    <row r="8" spans="2:10" ht="20" customHeight="1" x14ac:dyDescent="0.2">
      <c r="B8" s="115"/>
      <c r="C8" s="117" t="s">
        <v>12</v>
      </c>
      <c r="D8" s="119">
        <v>0.2</v>
      </c>
      <c r="E8" s="57" t="s">
        <v>13</v>
      </c>
      <c r="F8" s="13" t="s">
        <v>14</v>
      </c>
      <c r="G8" s="1">
        <v>0.1</v>
      </c>
      <c r="H8" s="39">
        <f>E20*G8</f>
        <v>10000</v>
      </c>
      <c r="J8" s="87"/>
    </row>
    <row r="9" spans="2:10" ht="20" customHeight="1" thickBot="1" x14ac:dyDescent="0.25">
      <c r="B9" s="116"/>
      <c r="C9" s="118"/>
      <c r="D9" s="120"/>
      <c r="E9" s="58" t="s">
        <v>15</v>
      </c>
      <c r="F9" s="59" t="s">
        <v>16</v>
      </c>
      <c r="G9" s="46">
        <v>0.1</v>
      </c>
      <c r="H9" s="60">
        <f>E20*G9</f>
        <v>10000</v>
      </c>
      <c r="J9" s="87"/>
    </row>
    <row r="10" spans="2:10" ht="20" customHeight="1" thickBot="1" x14ac:dyDescent="0.25">
      <c r="B10" s="9" t="s">
        <v>17</v>
      </c>
      <c r="C10" s="3"/>
      <c r="D10" s="10"/>
      <c r="E10" s="3"/>
      <c r="F10" s="11"/>
      <c r="G10" s="84">
        <v>0.2</v>
      </c>
      <c r="H10" s="49"/>
      <c r="J10" s="87"/>
    </row>
    <row r="11" spans="2:10" ht="20" customHeight="1" x14ac:dyDescent="0.2">
      <c r="B11" s="103">
        <v>0.2</v>
      </c>
      <c r="C11" s="104" t="s">
        <v>18</v>
      </c>
      <c r="D11" s="106">
        <v>0.2</v>
      </c>
      <c r="E11" s="12" t="s">
        <v>19</v>
      </c>
      <c r="F11" s="13" t="s">
        <v>20</v>
      </c>
      <c r="G11" s="1">
        <v>0.16</v>
      </c>
      <c r="H11" s="39">
        <f>E20*G11</f>
        <v>16000</v>
      </c>
      <c r="J11" s="87"/>
    </row>
    <row r="12" spans="2:10" ht="20" customHeight="1" thickBot="1" x14ac:dyDescent="0.25">
      <c r="B12" s="103"/>
      <c r="C12" s="121"/>
      <c r="D12" s="122"/>
      <c r="E12" s="44" t="s">
        <v>21</v>
      </c>
      <c r="F12" s="45" t="s">
        <v>22</v>
      </c>
      <c r="G12" s="46">
        <v>0.04</v>
      </c>
      <c r="H12" s="47">
        <f>E20*G12</f>
        <v>4000</v>
      </c>
      <c r="J12" s="87"/>
    </row>
    <row r="13" spans="2:10" ht="20" customHeight="1" thickBot="1" x14ac:dyDescent="0.25">
      <c r="B13" s="103"/>
      <c r="C13" s="72" t="s">
        <v>23</v>
      </c>
      <c r="D13" s="77">
        <v>0</v>
      </c>
      <c r="E13" s="33"/>
      <c r="F13" s="30"/>
      <c r="G13" s="31">
        <v>0</v>
      </c>
      <c r="H13" s="41">
        <f>E20*G13</f>
        <v>0</v>
      </c>
      <c r="J13" s="87"/>
    </row>
    <row r="14" spans="2:10" ht="20" customHeight="1" thickBot="1" x14ac:dyDescent="0.25">
      <c r="B14" s="18" t="s">
        <v>24</v>
      </c>
      <c r="C14" s="4"/>
      <c r="D14" s="19"/>
      <c r="E14" s="4"/>
      <c r="F14" s="20"/>
      <c r="G14" s="83">
        <v>0.1</v>
      </c>
      <c r="H14" s="50"/>
      <c r="J14" s="87"/>
    </row>
    <row r="15" spans="2:10" ht="20" customHeight="1" thickBot="1" x14ac:dyDescent="0.25">
      <c r="B15" s="114">
        <v>0.1</v>
      </c>
      <c r="C15" s="14" t="s">
        <v>25</v>
      </c>
      <c r="D15" s="78">
        <v>0.1</v>
      </c>
      <c r="E15" s="15" t="s">
        <v>26</v>
      </c>
      <c r="F15" s="16" t="s">
        <v>27</v>
      </c>
      <c r="G15" s="17">
        <v>0.1</v>
      </c>
      <c r="H15" s="43">
        <f>E20*G15</f>
        <v>10000</v>
      </c>
      <c r="J15" s="87"/>
    </row>
    <row r="16" spans="2:10" ht="20" customHeight="1" thickBot="1" x14ac:dyDescent="0.25">
      <c r="B16" s="114"/>
      <c r="C16" s="70" t="s">
        <v>28</v>
      </c>
      <c r="D16" s="77">
        <v>0</v>
      </c>
      <c r="E16" s="21"/>
      <c r="F16" s="34"/>
      <c r="G16" s="35">
        <v>0</v>
      </c>
      <c r="H16" s="42">
        <v>0</v>
      </c>
      <c r="J16" s="87"/>
    </row>
    <row r="17" spans="2:10" ht="20" customHeight="1" thickBot="1" x14ac:dyDescent="0.25">
      <c r="B17" s="114"/>
      <c r="C17" s="14" t="s">
        <v>29</v>
      </c>
      <c r="D17" s="77">
        <v>0</v>
      </c>
      <c r="E17" s="15"/>
      <c r="F17" s="16"/>
      <c r="G17" s="17">
        <v>0</v>
      </c>
      <c r="H17" s="43">
        <f>E20*G17</f>
        <v>0</v>
      </c>
      <c r="J17" s="87"/>
    </row>
    <row r="18" spans="2:10" ht="20" customHeight="1" thickBot="1" x14ac:dyDescent="0.25">
      <c r="B18" s="94" t="s">
        <v>30</v>
      </c>
      <c r="C18" s="95"/>
      <c r="D18" s="22"/>
      <c r="E18" s="23"/>
      <c r="F18" s="22"/>
      <c r="G18" s="24">
        <v>1</v>
      </c>
      <c r="H18" s="51">
        <f>SUM(H5:H17)</f>
        <v>100000</v>
      </c>
      <c r="J18" s="87"/>
    </row>
    <row r="20" spans="2:10" ht="20" customHeight="1" x14ac:dyDescent="0.2">
      <c r="C20" s="37" t="s">
        <v>31</v>
      </c>
      <c r="E20" s="38">
        <v>100000</v>
      </c>
    </row>
  </sheetData>
  <mergeCells count="12">
    <mergeCell ref="B1:H2"/>
    <mergeCell ref="B15:B17"/>
    <mergeCell ref="B18:C18"/>
    <mergeCell ref="B11:B13"/>
    <mergeCell ref="B3:E3"/>
    <mergeCell ref="C6:C7"/>
    <mergeCell ref="D6:D7"/>
    <mergeCell ref="B5:B9"/>
    <mergeCell ref="C8:C9"/>
    <mergeCell ref="D8:D9"/>
    <mergeCell ref="C11:C12"/>
    <mergeCell ref="D11:D12"/>
  </mergeCells>
  <pageMargins left="0.7" right="0.7" top="0.75" bottom="0.75" header="0.3" footer="0.3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2"/>
  <sheetViews>
    <sheetView topLeftCell="B1" workbookViewId="0">
      <selection activeCell="B3" sqref="B3:E3"/>
    </sheetView>
  </sheetViews>
  <sheetFormatPr baseColWidth="10" defaultColWidth="8.83203125" defaultRowHeight="13" x14ac:dyDescent="0.15"/>
  <cols>
    <col min="1" max="1" width="3" customWidth="1"/>
    <col min="3" max="3" width="33.33203125" customWidth="1"/>
    <col min="4" max="4" width="8.1640625" customWidth="1"/>
    <col min="5" max="5" width="48.6640625" bestFit="1" customWidth="1"/>
    <col min="6" max="6" width="11.33203125" bestFit="1" customWidth="1"/>
    <col min="7" max="7" width="7.5" customWidth="1"/>
    <col min="8" max="8" width="10.5" customWidth="1"/>
  </cols>
  <sheetData>
    <row r="1" spans="1:10" ht="20" customHeight="1" x14ac:dyDescent="0.2">
      <c r="A1" s="36"/>
      <c r="B1" s="96" t="s">
        <v>47</v>
      </c>
      <c r="C1" s="96"/>
      <c r="D1" s="96"/>
      <c r="E1" s="96"/>
      <c r="F1" s="96"/>
      <c r="G1" s="96"/>
      <c r="H1" s="96"/>
      <c r="I1" s="5"/>
      <c r="J1" s="5"/>
    </row>
    <row r="2" spans="1:10" ht="7.5" customHeight="1" thickBot="1" x14ac:dyDescent="0.25">
      <c r="B2" s="97"/>
      <c r="C2" s="97"/>
      <c r="D2" s="97"/>
      <c r="E2" s="97"/>
      <c r="F2" s="97"/>
      <c r="G2" s="97"/>
      <c r="H2" s="97"/>
      <c r="I2" s="5"/>
      <c r="J2" s="5"/>
    </row>
    <row r="3" spans="1:10" ht="20" customHeight="1" thickBot="1" x14ac:dyDescent="0.25">
      <c r="B3" s="98" t="s">
        <v>32</v>
      </c>
      <c r="C3" s="99"/>
      <c r="D3" s="99"/>
      <c r="E3" s="100"/>
      <c r="F3" s="32" t="s">
        <v>2</v>
      </c>
      <c r="G3" s="32" t="s">
        <v>3</v>
      </c>
      <c r="H3" s="6" t="s">
        <v>4</v>
      </c>
      <c r="I3" s="5"/>
      <c r="J3" s="89"/>
    </row>
    <row r="4" spans="1:10" ht="20" customHeight="1" thickBot="1" x14ac:dyDescent="0.25">
      <c r="B4" s="7" t="s">
        <v>5</v>
      </c>
      <c r="C4" s="2"/>
      <c r="D4" s="8"/>
      <c r="E4" s="2"/>
      <c r="F4" s="8"/>
      <c r="G4" s="80">
        <v>0.4</v>
      </c>
      <c r="H4" s="48"/>
      <c r="I4" s="5"/>
      <c r="J4" s="86"/>
    </row>
    <row r="5" spans="1:10" ht="20" customHeight="1" thickBot="1" x14ac:dyDescent="0.25">
      <c r="B5" s="101">
        <v>0.5</v>
      </c>
      <c r="C5" s="71" t="s">
        <v>6</v>
      </c>
      <c r="D5" s="77">
        <v>0</v>
      </c>
      <c r="E5" s="33"/>
      <c r="F5" s="30"/>
      <c r="G5" s="1">
        <v>0</v>
      </c>
      <c r="H5" s="41">
        <f>E23*G5</f>
        <v>0</v>
      </c>
      <c r="I5" s="5"/>
      <c r="J5" s="91"/>
    </row>
    <row r="6" spans="1:10" ht="20" customHeight="1" x14ac:dyDescent="0.2">
      <c r="B6" s="101"/>
      <c r="C6" s="104" t="s">
        <v>7</v>
      </c>
      <c r="D6" s="106">
        <v>0.3</v>
      </c>
      <c r="E6" s="12" t="s">
        <v>8</v>
      </c>
      <c r="F6" s="13" t="s">
        <v>9</v>
      </c>
      <c r="G6" s="1">
        <v>0.1</v>
      </c>
      <c r="H6" s="39">
        <f>E23*G6</f>
        <v>10000</v>
      </c>
      <c r="I6" s="5"/>
      <c r="J6" s="87"/>
    </row>
    <row r="7" spans="1:10" ht="20" customHeight="1" thickBot="1" x14ac:dyDescent="0.25">
      <c r="B7" s="101"/>
      <c r="C7" s="121"/>
      <c r="D7" s="122"/>
      <c r="E7" s="64" t="s">
        <v>10</v>
      </c>
      <c r="F7" s="65" t="s">
        <v>11</v>
      </c>
      <c r="G7" s="66">
        <v>0.2</v>
      </c>
      <c r="H7" s="67">
        <f>E23*G7</f>
        <v>20000</v>
      </c>
      <c r="I7" s="5"/>
      <c r="J7" s="87"/>
    </row>
    <row r="8" spans="1:10" ht="20" customHeight="1" x14ac:dyDescent="0.2">
      <c r="B8" s="101"/>
      <c r="C8" s="117" t="s">
        <v>12</v>
      </c>
      <c r="D8" s="106">
        <v>0.1</v>
      </c>
      <c r="E8" s="12" t="s">
        <v>13</v>
      </c>
      <c r="F8" s="13" t="s">
        <v>14</v>
      </c>
      <c r="G8" s="1">
        <v>0.05</v>
      </c>
      <c r="H8" s="67">
        <f>E23*G8</f>
        <v>5000</v>
      </c>
      <c r="I8" s="5"/>
      <c r="J8" s="87"/>
    </row>
    <row r="9" spans="1:10" ht="20" customHeight="1" thickBot="1" x14ac:dyDescent="0.25">
      <c r="B9" s="101"/>
      <c r="C9" s="118"/>
      <c r="D9" s="122"/>
      <c r="E9" s="61" t="s">
        <v>15</v>
      </c>
      <c r="F9" s="62" t="s">
        <v>16</v>
      </c>
      <c r="G9" s="63">
        <v>0.05</v>
      </c>
      <c r="H9" s="68">
        <f>E23*G9</f>
        <v>5000</v>
      </c>
      <c r="I9" s="5"/>
      <c r="J9" s="87"/>
    </row>
    <row r="10" spans="1:10" ht="20" customHeight="1" thickBot="1" x14ac:dyDescent="0.25">
      <c r="B10" s="101"/>
      <c r="C10" s="70" t="s">
        <v>33</v>
      </c>
      <c r="D10" s="79">
        <v>0.1</v>
      </c>
      <c r="E10" s="52" t="s">
        <v>34</v>
      </c>
      <c r="F10" s="34" t="s">
        <v>35</v>
      </c>
      <c r="G10" s="35">
        <v>0.1</v>
      </c>
      <c r="H10" s="60">
        <f>E23*G10</f>
        <v>10000</v>
      </c>
      <c r="I10" s="5"/>
      <c r="J10" s="87"/>
    </row>
    <row r="11" spans="1:10" ht="20" customHeight="1" thickBot="1" x14ac:dyDescent="0.25">
      <c r="B11" s="102"/>
      <c r="C11" s="71" t="s">
        <v>36</v>
      </c>
      <c r="D11" s="77">
        <v>0</v>
      </c>
      <c r="E11" s="25"/>
      <c r="F11" s="30"/>
      <c r="G11" s="31">
        <v>0</v>
      </c>
      <c r="H11" s="41">
        <f>E23*G11</f>
        <v>0</v>
      </c>
      <c r="I11" s="5"/>
      <c r="J11" s="87"/>
    </row>
    <row r="12" spans="1:10" ht="20" customHeight="1" thickBot="1" x14ac:dyDescent="0.25">
      <c r="B12" s="9" t="s">
        <v>17</v>
      </c>
      <c r="C12" s="3"/>
      <c r="D12" s="10"/>
      <c r="E12" s="3"/>
      <c r="F12" s="11"/>
      <c r="G12" s="81">
        <v>0.4</v>
      </c>
      <c r="H12" s="49"/>
      <c r="I12" s="5"/>
      <c r="J12" s="87"/>
    </row>
    <row r="13" spans="1:10" ht="20" customHeight="1" x14ac:dyDescent="0.2">
      <c r="B13" s="103">
        <v>0.4</v>
      </c>
      <c r="C13" s="104" t="s">
        <v>18</v>
      </c>
      <c r="D13" s="106">
        <v>0.38</v>
      </c>
      <c r="E13" s="12" t="s">
        <v>19</v>
      </c>
      <c r="F13" s="13" t="s">
        <v>20</v>
      </c>
      <c r="G13" s="1">
        <v>0.19</v>
      </c>
      <c r="H13" s="39">
        <f>E23*G13</f>
        <v>19000</v>
      </c>
      <c r="I13" s="5"/>
      <c r="J13" s="87"/>
    </row>
    <row r="14" spans="1:10" ht="20" customHeight="1" thickBot="1" x14ac:dyDescent="0.25">
      <c r="B14" s="103"/>
      <c r="C14" s="105"/>
      <c r="D14" s="107"/>
      <c r="E14" s="52" t="s">
        <v>21</v>
      </c>
      <c r="F14" s="34" t="s">
        <v>22</v>
      </c>
      <c r="G14" s="35">
        <v>0.19</v>
      </c>
      <c r="H14" s="60">
        <f>E23*G14</f>
        <v>19000</v>
      </c>
      <c r="I14" s="5"/>
      <c r="J14" s="87"/>
    </row>
    <row r="15" spans="1:10" ht="20" customHeight="1" thickBot="1" x14ac:dyDescent="0.25">
      <c r="B15" s="103"/>
      <c r="C15" s="72" t="s">
        <v>23</v>
      </c>
      <c r="D15" s="77">
        <v>0.02</v>
      </c>
      <c r="E15" s="33" t="s">
        <v>37</v>
      </c>
      <c r="F15" s="30" t="s">
        <v>38</v>
      </c>
      <c r="G15" s="31">
        <v>0.02</v>
      </c>
      <c r="H15" s="41">
        <f>E23*G15</f>
        <v>2000</v>
      </c>
      <c r="I15" s="5"/>
      <c r="J15" s="87"/>
    </row>
    <row r="16" spans="1:10" ht="20" customHeight="1" thickBot="1" x14ac:dyDescent="0.25">
      <c r="B16" s="53"/>
      <c r="C16" s="14" t="s">
        <v>39</v>
      </c>
      <c r="D16" s="77">
        <v>0</v>
      </c>
      <c r="E16" s="56"/>
      <c r="F16" s="54"/>
      <c r="G16" s="17">
        <v>0</v>
      </c>
      <c r="H16" s="55">
        <f>E23*G16</f>
        <v>0</v>
      </c>
      <c r="I16" s="5"/>
      <c r="J16" s="87"/>
    </row>
    <row r="17" spans="2:10" ht="20" customHeight="1" thickBot="1" x14ac:dyDescent="0.25">
      <c r="B17" s="18" t="s">
        <v>24</v>
      </c>
      <c r="C17" s="4"/>
      <c r="D17" s="19"/>
      <c r="E17" s="4"/>
      <c r="F17" s="20"/>
      <c r="G17" s="82">
        <v>0.1</v>
      </c>
      <c r="H17" s="50"/>
      <c r="I17" s="5"/>
      <c r="J17" s="87"/>
    </row>
    <row r="18" spans="2:10" ht="20" customHeight="1" thickBot="1" x14ac:dyDescent="0.25">
      <c r="B18" s="92">
        <v>0.1</v>
      </c>
      <c r="C18" s="14" t="s">
        <v>25</v>
      </c>
      <c r="D18" s="78">
        <v>0.1</v>
      </c>
      <c r="E18" s="15" t="s">
        <v>42</v>
      </c>
      <c r="F18" s="16" t="s">
        <v>41</v>
      </c>
      <c r="G18" s="17">
        <v>0.1</v>
      </c>
      <c r="H18" s="43">
        <f>E23*G18</f>
        <v>10000</v>
      </c>
      <c r="I18" s="5"/>
      <c r="J18" s="87"/>
    </row>
    <row r="19" spans="2:10" ht="20" customHeight="1" thickBot="1" x14ac:dyDescent="0.25">
      <c r="B19" s="92"/>
      <c r="C19" s="70" t="s">
        <v>28</v>
      </c>
      <c r="D19" s="79">
        <v>0</v>
      </c>
      <c r="E19" s="21"/>
      <c r="F19" s="34"/>
      <c r="G19" s="35">
        <v>0</v>
      </c>
      <c r="H19" s="42">
        <v>0</v>
      </c>
      <c r="I19" s="5"/>
      <c r="J19" s="87"/>
    </row>
    <row r="20" spans="2:10" ht="20" customHeight="1" thickBot="1" x14ac:dyDescent="0.25">
      <c r="B20" s="93"/>
      <c r="C20" s="14" t="s">
        <v>29</v>
      </c>
      <c r="D20" s="78">
        <v>0</v>
      </c>
      <c r="E20" s="15"/>
      <c r="F20" s="16"/>
      <c r="G20" s="17">
        <v>0</v>
      </c>
      <c r="H20" s="43">
        <f>E23*G20</f>
        <v>0</v>
      </c>
      <c r="I20" s="5"/>
      <c r="J20" s="90"/>
    </row>
    <row r="21" spans="2:10" ht="20" customHeight="1" thickBot="1" x14ac:dyDescent="0.25">
      <c r="B21" s="94" t="s">
        <v>30</v>
      </c>
      <c r="C21" s="95"/>
      <c r="D21" s="22"/>
      <c r="E21" s="23"/>
      <c r="F21" s="22"/>
      <c r="G21" s="24" t="s">
        <v>45</v>
      </c>
      <c r="H21" s="51">
        <f>SUM(H5:H20)</f>
        <v>100000</v>
      </c>
      <c r="I21" s="5"/>
      <c r="J21" s="88"/>
    </row>
    <row r="22" spans="2:10" ht="20" customHeight="1" x14ac:dyDescent="0.2">
      <c r="B22" s="5"/>
      <c r="C22" s="5"/>
      <c r="D22" s="5"/>
      <c r="E22" s="5"/>
      <c r="F22" s="5"/>
      <c r="G22" s="5"/>
      <c r="H22" s="5"/>
      <c r="I22" s="5"/>
      <c r="J22" s="5"/>
    </row>
    <row r="23" spans="2:10" ht="20" customHeight="1" x14ac:dyDescent="0.2">
      <c r="B23" s="5"/>
      <c r="C23" s="37" t="s">
        <v>31</v>
      </c>
      <c r="D23" s="5"/>
      <c r="E23" s="38">
        <v>100000</v>
      </c>
      <c r="F23" s="5"/>
      <c r="G23" s="5"/>
      <c r="H23" s="5"/>
      <c r="I23" s="5"/>
      <c r="J23" s="5"/>
    </row>
    <row r="24" spans="2:10" ht="20" customHeight="1" x14ac:dyDescent="0.15"/>
    <row r="25" spans="2:10" ht="20" customHeight="1" x14ac:dyDescent="0.15"/>
    <row r="26" spans="2:10" ht="20" customHeight="1" x14ac:dyDescent="0.15"/>
    <row r="27" spans="2:10" ht="20" customHeight="1" x14ac:dyDescent="0.15"/>
    <row r="28" spans="2:10" ht="20" customHeight="1" x14ac:dyDescent="0.15"/>
    <row r="29" spans="2:10" ht="20" customHeight="1" x14ac:dyDescent="0.15"/>
    <row r="30" spans="2:10" ht="20" customHeight="1" x14ac:dyDescent="0.15"/>
    <row r="31" spans="2:10" ht="20" customHeight="1" x14ac:dyDescent="0.15"/>
    <row r="32" spans="2:10" ht="20" customHeight="1" x14ac:dyDescent="0.15"/>
  </sheetData>
  <mergeCells count="12">
    <mergeCell ref="B18:B20"/>
    <mergeCell ref="B21:C21"/>
    <mergeCell ref="B1:H2"/>
    <mergeCell ref="B3:E3"/>
    <mergeCell ref="B5:B11"/>
    <mergeCell ref="C6:C7"/>
    <mergeCell ref="D6:D7"/>
    <mergeCell ref="B13:B15"/>
    <mergeCell ref="C13:C14"/>
    <mergeCell ref="D13:D14"/>
    <mergeCell ref="C8:C9"/>
    <mergeCell ref="D8:D9"/>
  </mergeCells>
  <pageMargins left="0.7" right="0.7" top="0.75" bottom="0.75" header="0.3" footer="0.3"/>
  <pageSetup paperSize="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J31"/>
  <sheetViews>
    <sheetView workbookViewId="0">
      <selection activeCell="B1" sqref="B1:H2"/>
    </sheetView>
  </sheetViews>
  <sheetFormatPr baseColWidth="10" defaultColWidth="8.83203125" defaultRowHeight="13" x14ac:dyDescent="0.15"/>
  <cols>
    <col min="1" max="1" width="3.1640625" customWidth="1"/>
    <col min="3" max="3" width="32.83203125" customWidth="1"/>
    <col min="5" max="5" width="47.5" customWidth="1"/>
    <col min="6" max="6" width="11.33203125" bestFit="1" customWidth="1"/>
    <col min="7" max="7" width="8.5" customWidth="1"/>
    <col min="8" max="8" width="10.5" customWidth="1"/>
  </cols>
  <sheetData>
    <row r="1" spans="2:10" ht="15.75" customHeight="1" x14ac:dyDescent="0.2">
      <c r="B1" s="96" t="s">
        <v>46</v>
      </c>
      <c r="C1" s="96"/>
      <c r="D1" s="96"/>
      <c r="E1" s="96"/>
      <c r="F1" s="96"/>
      <c r="G1" s="96"/>
      <c r="H1" s="96"/>
      <c r="I1" s="5"/>
      <c r="J1" s="5"/>
    </row>
    <row r="2" spans="2:10" ht="12.75" customHeight="1" thickBot="1" x14ac:dyDescent="0.25">
      <c r="B2" s="97"/>
      <c r="C2" s="97"/>
      <c r="D2" s="97"/>
      <c r="E2" s="97"/>
      <c r="F2" s="97"/>
      <c r="G2" s="97"/>
      <c r="H2" s="97"/>
      <c r="I2" s="5"/>
      <c r="J2" s="5"/>
    </row>
    <row r="3" spans="2:10" ht="20" customHeight="1" thickBot="1" x14ac:dyDescent="0.25">
      <c r="B3" s="98" t="s">
        <v>40</v>
      </c>
      <c r="C3" s="99"/>
      <c r="D3" s="99"/>
      <c r="E3" s="100"/>
      <c r="F3" s="32" t="s">
        <v>2</v>
      </c>
      <c r="G3" s="32" t="s">
        <v>3</v>
      </c>
      <c r="H3" s="6" t="s">
        <v>4</v>
      </c>
      <c r="I3" s="5"/>
      <c r="J3" s="89"/>
    </row>
    <row r="4" spans="2:10" ht="20" customHeight="1" thickBot="1" x14ac:dyDescent="0.25">
      <c r="B4" s="7" t="s">
        <v>5</v>
      </c>
      <c r="C4" s="2"/>
      <c r="D4" s="8"/>
      <c r="E4" s="2"/>
      <c r="F4" s="8"/>
      <c r="G4" s="85">
        <v>0.2</v>
      </c>
      <c r="H4" s="48"/>
      <c r="I4" s="5"/>
      <c r="J4" s="86"/>
    </row>
    <row r="5" spans="2:10" ht="20" customHeight="1" thickBot="1" x14ac:dyDescent="0.25">
      <c r="B5" s="101">
        <v>0.2</v>
      </c>
      <c r="C5" s="71" t="s">
        <v>6</v>
      </c>
      <c r="D5" s="123">
        <v>0</v>
      </c>
      <c r="E5" s="33"/>
      <c r="F5" s="30"/>
      <c r="G5" s="1">
        <v>0</v>
      </c>
      <c r="H5" s="41">
        <f>E21*G5</f>
        <v>0</v>
      </c>
      <c r="I5" s="5"/>
      <c r="J5" s="87"/>
    </row>
    <row r="6" spans="2:10" ht="20" customHeight="1" thickBot="1" x14ac:dyDescent="0.25">
      <c r="B6" s="101"/>
      <c r="C6" s="14" t="s">
        <v>7</v>
      </c>
      <c r="D6" s="78">
        <v>0.05</v>
      </c>
      <c r="E6" s="56" t="s">
        <v>10</v>
      </c>
      <c r="F6" s="16" t="s">
        <v>11</v>
      </c>
      <c r="G6" s="17">
        <v>0.05</v>
      </c>
      <c r="H6" s="43">
        <f>E21*G6</f>
        <v>5000</v>
      </c>
      <c r="I6" s="5"/>
      <c r="J6" s="87"/>
    </row>
    <row r="7" spans="2:10" ht="20" customHeight="1" thickBot="1" x14ac:dyDescent="0.25">
      <c r="B7" s="101"/>
      <c r="C7" s="73" t="s">
        <v>12</v>
      </c>
      <c r="D7" s="79">
        <v>0.1</v>
      </c>
      <c r="E7" s="69" t="s">
        <v>13</v>
      </c>
      <c r="F7" s="34" t="s">
        <v>14</v>
      </c>
      <c r="G7" s="35">
        <v>0.1</v>
      </c>
      <c r="H7" s="42">
        <f>E21*G7</f>
        <v>10000</v>
      </c>
      <c r="I7" s="5"/>
      <c r="J7" s="87"/>
    </row>
    <row r="8" spans="2:10" ht="20" customHeight="1" thickBot="1" x14ac:dyDescent="0.25">
      <c r="B8" s="101"/>
      <c r="C8" s="14" t="s">
        <v>33</v>
      </c>
      <c r="D8" s="78">
        <v>0.05</v>
      </c>
      <c r="E8" s="56" t="s">
        <v>34</v>
      </c>
      <c r="F8" s="16" t="s">
        <v>35</v>
      </c>
      <c r="G8" s="17">
        <v>0.05</v>
      </c>
      <c r="H8" s="43">
        <f>E21*G8</f>
        <v>5000</v>
      </c>
      <c r="I8" s="5"/>
      <c r="J8" s="87"/>
    </row>
    <row r="9" spans="2:10" ht="20" customHeight="1" thickBot="1" x14ac:dyDescent="0.25">
      <c r="B9" s="102"/>
      <c r="C9" s="71" t="s">
        <v>36</v>
      </c>
      <c r="D9" s="123">
        <v>0</v>
      </c>
      <c r="E9" s="25"/>
      <c r="F9" s="30"/>
      <c r="G9" s="31">
        <v>0</v>
      </c>
      <c r="H9" s="41">
        <f>E21*G9</f>
        <v>0</v>
      </c>
      <c r="I9" s="5"/>
      <c r="J9" s="87"/>
    </row>
    <row r="10" spans="2:10" ht="20" customHeight="1" thickBot="1" x14ac:dyDescent="0.25">
      <c r="B10" s="9" t="s">
        <v>17</v>
      </c>
      <c r="C10" s="3"/>
      <c r="D10" s="10"/>
      <c r="E10" s="3"/>
      <c r="F10" s="11"/>
      <c r="G10" s="84">
        <v>0.7</v>
      </c>
      <c r="H10" s="49"/>
      <c r="I10" s="5"/>
      <c r="J10" s="87"/>
    </row>
    <row r="11" spans="2:10" ht="20" customHeight="1" x14ac:dyDescent="0.2">
      <c r="B11" s="103">
        <v>0.7</v>
      </c>
      <c r="C11" s="104" t="s">
        <v>18</v>
      </c>
      <c r="D11" s="106">
        <v>0.67</v>
      </c>
      <c r="E11" s="12" t="s">
        <v>19</v>
      </c>
      <c r="F11" s="13" t="s">
        <v>20</v>
      </c>
      <c r="G11" s="1">
        <v>0.35</v>
      </c>
      <c r="H11" s="39">
        <f>E21*G11</f>
        <v>35000</v>
      </c>
      <c r="I11" s="5"/>
      <c r="J11" s="87"/>
    </row>
    <row r="12" spans="2:10" ht="20" customHeight="1" thickBot="1" x14ac:dyDescent="0.25">
      <c r="B12" s="103"/>
      <c r="C12" s="105"/>
      <c r="D12" s="107"/>
      <c r="E12" s="52" t="s">
        <v>21</v>
      </c>
      <c r="F12" s="34" t="s">
        <v>22</v>
      </c>
      <c r="G12" s="35">
        <v>0.32</v>
      </c>
      <c r="H12" s="60">
        <f>E21*G12</f>
        <v>32000</v>
      </c>
      <c r="I12" s="5"/>
      <c r="J12" s="87"/>
    </row>
    <row r="13" spans="2:10" ht="20" customHeight="1" thickBot="1" x14ac:dyDescent="0.25">
      <c r="B13" s="103"/>
      <c r="C13" s="72" t="s">
        <v>23</v>
      </c>
      <c r="D13" s="77">
        <v>0.03</v>
      </c>
      <c r="E13" s="33" t="s">
        <v>37</v>
      </c>
      <c r="F13" s="30" t="s">
        <v>38</v>
      </c>
      <c r="G13" s="31">
        <v>0.03</v>
      </c>
      <c r="H13" s="41">
        <f>E21*G13</f>
        <v>3000</v>
      </c>
      <c r="I13" s="5"/>
      <c r="J13" s="87"/>
    </row>
    <row r="14" spans="2:10" ht="20" customHeight="1" thickBot="1" x14ac:dyDescent="0.25">
      <c r="B14" s="53"/>
      <c r="C14" s="14" t="s">
        <v>39</v>
      </c>
      <c r="D14" s="123">
        <v>0</v>
      </c>
      <c r="E14" s="56"/>
      <c r="F14" s="54"/>
      <c r="G14" s="17">
        <v>0</v>
      </c>
      <c r="H14" s="55">
        <f>E21*G14</f>
        <v>0</v>
      </c>
      <c r="I14" s="5"/>
      <c r="J14" s="87"/>
    </row>
    <row r="15" spans="2:10" ht="20" customHeight="1" thickBot="1" x14ac:dyDescent="0.25">
      <c r="B15" s="18" t="s">
        <v>24</v>
      </c>
      <c r="C15" s="4"/>
      <c r="D15" s="19"/>
      <c r="E15" s="4"/>
      <c r="F15" s="20"/>
      <c r="G15" s="83">
        <v>0.1</v>
      </c>
      <c r="H15" s="50"/>
      <c r="I15" s="5"/>
      <c r="J15" s="87"/>
    </row>
    <row r="16" spans="2:10" ht="20" customHeight="1" thickBot="1" x14ac:dyDescent="0.25">
      <c r="B16" s="92">
        <v>0.1</v>
      </c>
      <c r="C16" s="14" t="s">
        <v>25</v>
      </c>
      <c r="D16" s="78">
        <v>0.1</v>
      </c>
      <c r="E16" s="15" t="s">
        <v>42</v>
      </c>
      <c r="F16" s="16" t="s">
        <v>41</v>
      </c>
      <c r="G16" s="17">
        <v>0.1</v>
      </c>
      <c r="H16" s="43">
        <f>E21*G16</f>
        <v>10000</v>
      </c>
      <c r="I16" s="5"/>
      <c r="J16" s="87"/>
    </row>
    <row r="17" spans="2:10" ht="20" customHeight="1" thickBot="1" x14ac:dyDescent="0.25">
      <c r="B17" s="92"/>
      <c r="C17" s="70" t="s">
        <v>28</v>
      </c>
      <c r="D17" s="123">
        <v>0</v>
      </c>
      <c r="E17" s="21"/>
      <c r="F17" s="34"/>
      <c r="G17" s="35">
        <v>0</v>
      </c>
      <c r="H17" s="42">
        <v>0</v>
      </c>
      <c r="I17" s="5"/>
      <c r="J17" s="87"/>
    </row>
    <row r="18" spans="2:10" ht="20" customHeight="1" thickBot="1" x14ac:dyDescent="0.25">
      <c r="B18" s="93"/>
      <c r="C18" s="14" t="s">
        <v>29</v>
      </c>
      <c r="D18" s="123">
        <v>0</v>
      </c>
      <c r="E18" s="15"/>
      <c r="F18" s="16"/>
      <c r="G18" s="17">
        <v>0</v>
      </c>
      <c r="H18" s="43">
        <f>E21*G18</f>
        <v>0</v>
      </c>
      <c r="I18" s="5"/>
      <c r="J18" s="87"/>
    </row>
    <row r="19" spans="2:10" ht="20" customHeight="1" thickBot="1" x14ac:dyDescent="0.25">
      <c r="B19" s="94" t="s">
        <v>30</v>
      </c>
      <c r="C19" s="95"/>
      <c r="D19" s="22"/>
      <c r="E19" s="23"/>
      <c r="F19" s="22"/>
      <c r="G19" s="24">
        <v>1</v>
      </c>
      <c r="H19" s="51">
        <f>SUM(H5:H18)</f>
        <v>100000</v>
      </c>
      <c r="I19" s="5"/>
      <c r="J19" s="88"/>
    </row>
    <row r="20" spans="2:10" ht="15" customHeight="1" x14ac:dyDescent="0.2">
      <c r="B20" s="5"/>
      <c r="C20" s="5"/>
      <c r="D20" s="5"/>
      <c r="E20" s="5"/>
      <c r="F20" s="5"/>
      <c r="G20" s="5"/>
      <c r="H20" s="5"/>
      <c r="I20" s="5"/>
      <c r="J20" s="5"/>
    </row>
    <row r="21" spans="2:10" ht="20" customHeight="1" x14ac:dyDescent="0.2">
      <c r="B21" s="5"/>
      <c r="C21" s="37" t="s">
        <v>31</v>
      </c>
      <c r="D21" s="5"/>
      <c r="E21" s="38">
        <v>100000</v>
      </c>
      <c r="F21" s="5"/>
      <c r="G21" s="5"/>
      <c r="H21" s="5"/>
      <c r="I21" s="5"/>
      <c r="J21" s="5"/>
    </row>
    <row r="22" spans="2:10" ht="20" customHeight="1" x14ac:dyDescent="0.15"/>
    <row r="23" spans="2:10" ht="20" customHeight="1" x14ac:dyDescent="0.15"/>
    <row r="24" spans="2:10" ht="20" customHeight="1" x14ac:dyDescent="0.15"/>
    <row r="25" spans="2:10" ht="20" customHeight="1" x14ac:dyDescent="0.15"/>
    <row r="26" spans="2:10" ht="20" customHeight="1" x14ac:dyDescent="0.15"/>
    <row r="27" spans="2:10" ht="20" customHeight="1" x14ac:dyDescent="0.15"/>
    <row r="28" spans="2:10" ht="20" customHeight="1" x14ac:dyDescent="0.15"/>
    <row r="29" spans="2:10" ht="20" customHeight="1" x14ac:dyDescent="0.15"/>
    <row r="30" spans="2:10" ht="20" customHeight="1" x14ac:dyDescent="0.15"/>
    <row r="31" spans="2:10" ht="20" customHeight="1" x14ac:dyDescent="0.15"/>
  </sheetData>
  <mergeCells count="8">
    <mergeCell ref="B16:B18"/>
    <mergeCell ref="B19:C19"/>
    <mergeCell ref="B1:H2"/>
    <mergeCell ref="B3:E3"/>
    <mergeCell ref="B5:B9"/>
    <mergeCell ref="B11:B13"/>
    <mergeCell ref="C11:C12"/>
    <mergeCell ref="D11:D12"/>
  </mergeCells>
  <pageMargins left="0.7" right="0.7" top="0.78740157499999996" bottom="0.78740157499999996" header="0.3" footer="0.3"/>
  <pageSetup paperSize="9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A6F9F53BB494F840ACC92E15957552E0" ma:contentTypeVersion="18" ma:contentTypeDescription="Vytvoří nový dokument" ma:contentTypeScope="" ma:versionID="359982a3d82a5ed7181c267e538befbd">
  <xsd:schema xmlns:xsd="http://www.w3.org/2001/XMLSchema" xmlns:xs="http://www.w3.org/2001/XMLSchema" xmlns:p="http://schemas.microsoft.com/office/2006/metadata/properties" xmlns:ns2="5e6c6bb9-4fdb-4153-b5c2-b1f303e94cd8" xmlns:ns3="b78b7939-5d89-4a97-99ad-a2d42dabfe29" targetNamespace="http://schemas.microsoft.com/office/2006/metadata/properties" ma:root="true" ma:fieldsID="9654c4f9f30244fdd4797a3d45b3b176" ns2:_="" ns3:_="">
    <xsd:import namespace="5e6c6bb9-4fdb-4153-b5c2-b1f303e94cd8"/>
    <xsd:import namespace="b78b7939-5d89-4a97-99ad-a2d42dabfe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DateTaken" minOccurs="0"/>
                <xsd:element ref="ns2:Datuma_x010d_as" minOccurs="0"/>
                <xsd:element ref="ns2:Datuma_x010d_as1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6c6bb9-4fdb-4153-b5c2-b1f303e94cd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5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6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7" nillable="true" ma:displayName="MediaLengthInSeconds" ma:description="" ma:internalName="MediaLengthInSeconds" ma:readOnly="true">
      <xsd:simpleType>
        <xsd:restriction base="dms:Unknown"/>
      </xsd:simpleType>
    </xsd:element>
    <xsd:element name="MediaServiceDateTaken" ma:index="8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Datuma_x010d_as" ma:index="9" nillable="true" ma:displayName="Datum a čas" ma:format="DateOnly" ma:internalName="Datuma_x010d_as" ma:readOnly="false">
      <xsd:simpleType>
        <xsd:restriction base="dms:DateTime"/>
      </xsd:simpleType>
    </xsd:element>
    <xsd:element name="Datuma_x010d_as1" ma:index="10" nillable="true" ma:displayName="Datum a čas 1" ma:format="DateTime" ma:internalName="Datuma_x010d_as1" ma:readOnly="false">
      <xsd:simpleType>
        <xsd:restriction base="dms:DateTim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8b7939-5d89-4a97-99ad-a2d42dabfe29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dílí se s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dílené s podrobnostmi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3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uma_x010d_as xmlns="5e6c6bb9-4fdb-4153-b5c2-b1f303e94cd8" xsi:nil="true"/>
    <Datuma_x010d_as1 xmlns="5e6c6bb9-4fdb-4153-b5c2-b1f303e94cd8" xsi:nil="true"/>
  </documentManagement>
</p:properties>
</file>

<file path=customXml/itemProps1.xml><?xml version="1.0" encoding="utf-8"?>
<ds:datastoreItem xmlns:ds="http://schemas.openxmlformats.org/officeDocument/2006/customXml" ds:itemID="{3065091A-BD5B-4C42-B83E-C547C860FA4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7912316-DE7D-4EC8-84B4-497B01B4885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e6c6bb9-4fdb-4153-b5c2-b1f303e94cd8"/>
    <ds:schemaRef ds:uri="b78b7939-5d89-4a97-99ad-a2d42dabfe2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B5AE165-A9E1-4332-9890-5EC6D0351462}">
  <ds:schemaRefs>
    <ds:schemaRef ds:uri="http://schemas.microsoft.com/office/2006/metadata/properties"/>
    <ds:schemaRef ds:uri="5e6c6bb9-4fdb-4153-b5c2-b1f303e94cd8"/>
    <ds:schemaRef ds:uri="http://schemas.microsoft.com/office/2006/documentManagement/types"/>
    <ds:schemaRef ds:uri="http://www.w3.org/XML/1998/namespace"/>
    <ds:schemaRef ds:uri="http://purl.org/dc/elements/1.1/"/>
    <ds:schemaRef ds:uri="http://purl.org/dc/dcmitype/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b78b7939-5d89-4a97-99ad-a2d42dabfe2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Listy</vt:lpstr>
      </vt:variant>
      <vt:variant>
        <vt:i4>4</vt:i4>
      </vt:variant>
    </vt:vector>
  </HeadingPairs>
  <TitlesOfParts>
    <vt:vector size="4" baseType="lpstr">
      <vt:lpstr>RŘC1</vt:lpstr>
      <vt:lpstr>RŘC2 5+</vt:lpstr>
      <vt:lpstr>RŘC3 5+</vt:lpstr>
      <vt:lpstr>RŘC4 5+</vt:lpstr>
    </vt:vector>
  </TitlesOfParts>
  <Manager/>
  <Company>Česká spořitelna, a.s.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cen35817</dc:creator>
  <cp:keywords/>
  <dc:description/>
  <cp:lastModifiedBy>Al Saleh Mohamad</cp:lastModifiedBy>
  <cp:revision/>
  <dcterms:created xsi:type="dcterms:W3CDTF">2011-01-10T13:42:34Z</dcterms:created>
  <dcterms:modified xsi:type="dcterms:W3CDTF">2026-07-07T09:34:46Z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0x010100A6F9F53BB494F840ACC92E15957552E0</vt:lpwstr>
  </property>
  <property fmtid="{D5CDD505-2E9C-101B-9397-08002B2CF9AE}" pid="3" name="MSIP_Label_38939b85-7e40-4a1d-91e1-0e84c3b219d7_Enabled">
    <vt:lpwstr>true</vt:lpwstr>
  </property>
  <property fmtid="{D5CDD505-2E9C-101B-9397-08002B2CF9AE}" pid="4" name="MSIP_Label_38939b85-7e40-4a1d-91e1-0e84c3b219d7_SetDate">
    <vt:lpwstr>2023-06-13T14:22:40Z</vt:lpwstr>
  </property>
  <property fmtid="{D5CDD505-2E9C-101B-9397-08002B2CF9AE}" pid="5" name="MSIP_Label_38939b85-7e40-4a1d-91e1-0e84c3b219d7_Method">
    <vt:lpwstr>Standard</vt:lpwstr>
  </property>
  <property fmtid="{D5CDD505-2E9C-101B-9397-08002B2CF9AE}" pid="6" name="MSIP_Label_38939b85-7e40-4a1d-91e1-0e84c3b219d7_Name">
    <vt:lpwstr>38939b85-7e40-4a1d-91e1-0e84c3b219d7</vt:lpwstr>
  </property>
  <property fmtid="{D5CDD505-2E9C-101B-9397-08002B2CF9AE}" pid="7" name="MSIP_Label_38939b85-7e40-4a1d-91e1-0e84c3b219d7_SiteId">
    <vt:lpwstr>3ad0376a-54d3-49a6-9e20-52de0a92fc89</vt:lpwstr>
  </property>
  <property fmtid="{D5CDD505-2E9C-101B-9397-08002B2CF9AE}" pid="8" name="MSIP_Label_38939b85-7e40-4a1d-91e1-0e84c3b219d7_ActionId">
    <vt:lpwstr>b8545026-5cec-43d9-b360-e34881f66aad</vt:lpwstr>
  </property>
  <property fmtid="{D5CDD505-2E9C-101B-9397-08002B2CF9AE}" pid="9" name="MSIP_Label_38939b85-7e40-4a1d-91e1-0e84c3b219d7_ContentBits">
    <vt:lpwstr>0</vt:lpwstr>
  </property>
</Properties>
</file>
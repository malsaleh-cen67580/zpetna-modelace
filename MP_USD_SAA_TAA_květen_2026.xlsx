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n31502\Documents\MP\CMP\"/>
    </mc:Choice>
  </mc:AlternateContent>
  <xr:revisionPtr revIDLastSave="3" documentId="13_ncr:1_{5FD54E1D-4B8F-45C5-9681-022C6B1C51DA}" xr6:coauthVersionLast="47" xr6:coauthVersionMax="47" xr10:uidLastSave="{C6A404CB-5845-45B4-82BD-124F9230A52A}"/>
  <bookViews>
    <workbookView xWindow="-120" yWindow="-120" windowWidth="29040" windowHeight="15840" firstSheet="8" activeTab="8" xr2:uid="{00000000-000D-0000-FFFF-FFFF00000000}"/>
  </bookViews>
  <sheets>
    <sheet name="RŘC1" sheetId="15" r:id="rId1"/>
    <sheet name="RŘC2 5+" sheetId="16" r:id="rId2"/>
    <sheet name="RŘC2 3-5" sheetId="20" r:id="rId3"/>
    <sheet name="RŘC3 5+" sheetId="17" r:id="rId4"/>
    <sheet name="RŘC3 3-5" sheetId="21" r:id="rId5"/>
    <sheet name="RŘC4 5+" sheetId="18" r:id="rId6"/>
    <sheet name="RŘC4 3-5" sheetId="23" r:id="rId7"/>
    <sheet name="Pravidelná investice" sheetId="12" r:id="rId8"/>
    <sheet name="Substituční produkty" sheetId="1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5" l="1"/>
  <c r="G15" i="15"/>
  <c r="H14" i="15"/>
  <c r="G6" i="15"/>
  <c r="H5" i="15"/>
  <c r="H18" i="18"/>
  <c r="H18" i="17"/>
  <c r="H15" i="16"/>
  <c r="H6" i="15" l="1"/>
  <c r="G12" i="23"/>
  <c r="H11" i="23"/>
  <c r="H10" i="23"/>
  <c r="H8" i="23"/>
  <c r="H7" i="23"/>
  <c r="H6" i="23"/>
  <c r="H5" i="23"/>
  <c r="G12" i="21"/>
  <c r="H11" i="21"/>
  <c r="H10" i="21"/>
  <c r="H8" i="21"/>
  <c r="H7" i="21"/>
  <c r="H6" i="21"/>
  <c r="H5" i="21"/>
  <c r="G11" i="20"/>
  <c r="H10" i="20"/>
  <c r="H9" i="20"/>
  <c r="H7" i="20"/>
  <c r="H6" i="20"/>
  <c r="H5" i="20"/>
  <c r="H14" i="18"/>
  <c r="H14" i="17"/>
  <c r="G19" i="18"/>
  <c r="H13" i="18"/>
  <c r="H12" i="18"/>
  <c r="H11" i="18"/>
  <c r="H9" i="18"/>
  <c r="H8" i="18"/>
  <c r="H7" i="18"/>
  <c r="H6" i="18"/>
  <c r="H5" i="18"/>
  <c r="H8" i="17"/>
  <c r="H7" i="17"/>
  <c r="H6" i="17"/>
  <c r="H9" i="17"/>
  <c r="G19" i="17"/>
  <c r="H13" i="17"/>
  <c r="H12" i="17"/>
  <c r="H11" i="17"/>
  <c r="H5" i="17"/>
  <c r="H11" i="16"/>
  <c r="H5" i="16"/>
  <c r="H10" i="16"/>
  <c r="H9" i="16"/>
  <c r="H7" i="16"/>
  <c r="H6" i="16"/>
  <c r="G16" i="16"/>
  <c r="H19" i="17" l="1"/>
  <c r="H12" i="23"/>
  <c r="H12" i="21"/>
  <c r="H11" i="20"/>
  <c r="H16" i="16"/>
  <c r="H19" i="18"/>
</calcChain>
</file>

<file path=xl/sharedStrings.xml><?xml version="1.0" encoding="utf-8"?>
<sst xmlns="http://schemas.openxmlformats.org/spreadsheetml/2006/main" count="414" uniqueCount="116">
  <si>
    <t>Modelové portfolio pro Rizikovost řešení cíle 1 v USD varianta A - platné od 1. května 2023</t>
  </si>
  <si>
    <t>Doporučená alokace aktiv pro RŘC1 - Investiční horizont:  3 roky</t>
  </si>
  <si>
    <t>ISIN</t>
  </si>
  <si>
    <t>Váha</t>
  </si>
  <si>
    <t>Částka USD</t>
  </si>
  <si>
    <t>ÚROKOVÁ SLOŽKA</t>
  </si>
  <si>
    <t>Nástroje peněžního trhu a krátkodobé dluhopisy</t>
  </si>
  <si>
    <t>Měnový prémiový vklad v USD 06/2023</t>
  </si>
  <si>
    <t>UCER270624</t>
  </si>
  <si>
    <t>Portfolio celkem</t>
  </si>
  <si>
    <t>Celková částka v USD</t>
  </si>
  <si>
    <t>Modelové portfolio pro Rizikovost řešení cíle 1 v USD varianta B - platné od 1. května 2023</t>
  </si>
  <si>
    <t>BNP Paribas Funds USD Money Market</t>
  </si>
  <si>
    <t>LU0012186622</t>
  </si>
  <si>
    <t>Modelové portfolio pro Rizikovost řešení cíle 2 v USD - platné od 1. května 2023</t>
  </si>
  <si>
    <t>Doporučená alokace aktiv pro RŘC2 - Investiční horizont:  5 let a déle</t>
  </si>
  <si>
    <t>0 - 10%</t>
  </si>
  <si>
    <t>Státní dluhopisy</t>
  </si>
  <si>
    <t>20 - 70%</t>
  </si>
  <si>
    <t>Franklin U.S. Government Fund USD</t>
  </si>
  <si>
    <t>LU0543330301</t>
  </si>
  <si>
    <t>Korporátní dluhopisy na investičním stupni</t>
  </si>
  <si>
    <t>0 - 40%</t>
  </si>
  <si>
    <t>BNP Paribas Funds Sustainable Global Corporate Bond</t>
  </si>
  <si>
    <t>LU0282388437</t>
  </si>
  <si>
    <t>AKCIOVÁ SLOŽKA</t>
  </si>
  <si>
    <t>Akcie vyspělé trhy globální</t>
  </si>
  <si>
    <t>5 - 20%</t>
  </si>
  <si>
    <t>ERSTE RESPONSIBLE STOCK AMERICA (VT) USD</t>
  </si>
  <si>
    <t>AT0000673371</t>
  </si>
  <si>
    <t>Fidelity Funds - Global Dividend Fund A-ACC-USD</t>
  </si>
  <si>
    <t>LU0772969993</t>
  </si>
  <si>
    <t>Akcie rozvíjející se trhy</t>
  </si>
  <si>
    <t>0 - 5%</t>
  </si>
  <si>
    <t>ALTERNATIVNÍ SLOŽKA</t>
  </si>
  <si>
    <t>Reality</t>
  </si>
  <si>
    <t>Komodity</t>
  </si>
  <si>
    <t>Alternativní strategie</t>
  </si>
  <si>
    <t>BNP Paribas Flexi I Commodities</t>
  </si>
  <si>
    <t>LU1931956285</t>
  </si>
  <si>
    <t>Doporučená alokace aktiv pro RŘC2 - Investiční horizont:  3 až 5 let</t>
  </si>
  <si>
    <t>60 - 90%</t>
  </si>
  <si>
    <t>0 - 20%</t>
  </si>
  <si>
    <t>Modelové portfolio pro Rizikovost řešení cíle 3 v USD - platné od 13. května 2023</t>
  </si>
  <si>
    <t>Doporučená alokace aktiv pro RŘC3 - Investiční horizont:  5 let a déle</t>
  </si>
  <si>
    <t>10 - 50%</t>
  </si>
  <si>
    <t>0 - 25%</t>
  </si>
  <si>
    <t>High Yield dluhopisy</t>
  </si>
  <si>
    <t xml:space="preserve">Fidelity Funds - Global High Yield Fund A-ACC-USD </t>
  </si>
  <si>
    <t>LU0740037022</t>
  </si>
  <si>
    <t>Emerging markets dluhopisy</t>
  </si>
  <si>
    <t>Fidelity Funds - Emerging Market Corporate Debt Fund A-ACC-USD</t>
  </si>
  <si>
    <t>LU0900495697</t>
  </si>
  <si>
    <t>20 - 40%</t>
  </si>
  <si>
    <t>0 - 15%</t>
  </si>
  <si>
    <t>Akcie rozvíjející se trhy CEE</t>
  </si>
  <si>
    <t>Modelové portfolio pro Rizikovost řešení cíle 3 v USD - platné od 1. května 2023</t>
  </si>
  <si>
    <t>Doporučená alokace aktiv pro RŘC3 - Investiční horizont:  3 až 5 let</t>
  </si>
  <si>
    <t>25 - 75%</t>
  </si>
  <si>
    <t>Modelové portfolio pro Rizikovost řešení cíle 4 v USD - platné od 1. května 2023</t>
  </si>
  <si>
    <t>Doporučená alokace aktiv pro RŘC4 - Investiční horizont:  5 let a déle</t>
  </si>
  <si>
    <t>35 - 70%</t>
  </si>
  <si>
    <t>Doporučená alokace aktiv pro RŘC4 - Investiční horizont:  3 až 5 let</t>
  </si>
  <si>
    <t>20 - 60%</t>
  </si>
  <si>
    <t>0 - 30%</t>
  </si>
  <si>
    <t>RŘC2</t>
  </si>
  <si>
    <t>Minimální délka doporučeného investičního horizontu</t>
  </si>
  <si>
    <t>5 let a déle</t>
  </si>
  <si>
    <t>3 až 4,99 roku</t>
  </si>
  <si>
    <t>RŘC3</t>
  </si>
  <si>
    <t>RŘC4</t>
  </si>
  <si>
    <t>Substituční produkty pro Rizikovost řešení cíle 2</t>
  </si>
  <si>
    <t>Třídy aktiv</t>
  </si>
  <si>
    <t>Substituce naplnění pro RŘC2 - seznam produktů</t>
  </si>
  <si>
    <t>ERSTE RESERVE DOLLAR</t>
  </si>
  <si>
    <t>AT0000673249</t>
  </si>
  <si>
    <t>Templeton Global Bond Fund - A(acc)USD</t>
  </si>
  <si>
    <t>LU0252652382</t>
  </si>
  <si>
    <t>BNP Paribas Funds US Short Duration Bond</t>
  </si>
  <si>
    <t>LU0012182399</t>
  </si>
  <si>
    <t>Goldman Sachs US Factor Credit</t>
  </si>
  <si>
    <t>LU0546914754</t>
  </si>
  <si>
    <t>Fidelity Funds - US DOLLAR BOND FUND A-ACC-USD</t>
  </si>
  <si>
    <t>LU0261947682</t>
  </si>
  <si>
    <t>Goldman Sachs Health Care</t>
  </si>
  <si>
    <t>LU0119209004</t>
  </si>
  <si>
    <t>BNP Paribas Funds US Growth</t>
  </si>
  <si>
    <t>LU0823434583</t>
  </si>
  <si>
    <t>Franklin World Perspectives Fund Class A (acc) USD</t>
  </si>
  <si>
    <t>LU0390134368</t>
  </si>
  <si>
    <t>BNP Paribas US Value Multifactor Equity</t>
  </si>
  <si>
    <t>LU1458427785</t>
  </si>
  <si>
    <t>Franklin U.S. Opportunities Fund - A(acc)USD</t>
  </si>
  <si>
    <t>LU0109391861</t>
  </si>
  <si>
    <t>Fidelity Funds - EMERGING MARKETS FUND A-ACC-USD</t>
  </si>
  <si>
    <t>LU0261950470</t>
  </si>
  <si>
    <t>Templeton China Fund - A(acc)USD</t>
  </si>
  <si>
    <t>LU0052750758</t>
  </si>
  <si>
    <t>Templeton Emerging Markets Fund - A(acc)USD</t>
  </si>
  <si>
    <t>LU0128522744</t>
  </si>
  <si>
    <t>Substituční produkty pro Rizikovost řešení cíle 3</t>
  </si>
  <si>
    <t>Substituce naplnění pro RŘC3 - seznam produktů</t>
  </si>
  <si>
    <t>Fidelity Funds - US HIGH YIELD FUND A-ACC-USD</t>
  </si>
  <si>
    <t>LU0605520377</t>
  </si>
  <si>
    <t>Franklin High Yield Fund - A(acc) USD</t>
  </si>
  <si>
    <t>LU0131126228</t>
  </si>
  <si>
    <t>Templeton Global High Yield Fund - A(acc)USD</t>
  </si>
  <si>
    <t>LU0300740767</t>
  </si>
  <si>
    <t>Templeton Emerging Markets Bond Fund - A(acc)USD</t>
  </si>
  <si>
    <t>LU0478345209</t>
  </si>
  <si>
    <t>FIDELITY FUNDS - EMERGING MARKET DEBT FUND A-ACC-USD</t>
  </si>
  <si>
    <t>LU0238205958</t>
  </si>
  <si>
    <t>BNP Paribas Emerging Bond</t>
  </si>
  <si>
    <t>LU0089276934</t>
  </si>
  <si>
    <t>Substituční produkty pro Rizikovost řešení cíle 4</t>
  </si>
  <si>
    <t>Substituce naplnění pro RŘC4 - seznam produktů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</si>
</sst>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2"/>
      <name val="Calibri"/>
      <family val="2"/>
      <charset val="238"/>
    </font>
    <font>
      <b/>
      <sz val="12"/>
      <color indexed="9"/>
      <name val="Calibri"/>
      <family val="2"/>
      <charset val="238"/>
    </font>
    <font>
      <b/>
      <sz val="11"/>
      <color theme="0"/>
      <name val="Calibri"/>
      <family val="2"/>
      <charset val="238"/>
      <scheme val="minor"/>
    </font>
    <font>
      <b/>
      <sz val="8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0"/>
      <color indexed="9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b/>
      <sz val="11"/>
      <color indexed="9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/>
    <xf numFmtId="9" fontId="3" fillId="0" borderId="2" xfId="0" applyNumberFormat="1" applyFont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/>
    </xf>
    <xf numFmtId="9" fontId="3" fillId="0" borderId="7" xfId="0" applyNumberFormat="1" applyFont="1" applyBorder="1" applyAlignment="1">
      <alignment horizontal="center" vertical="center"/>
    </xf>
    <xf numFmtId="9" fontId="6" fillId="0" borderId="8" xfId="0" applyNumberFormat="1" applyFont="1" applyBorder="1" applyAlignment="1">
      <alignment horizontal="center" vertical="center"/>
    </xf>
    <xf numFmtId="0" fontId="6" fillId="3" borderId="7" xfId="0" applyFont="1" applyFill="1" applyBorder="1" applyAlignment="1">
      <alignment vertical="center"/>
    </xf>
    <xf numFmtId="0" fontId="6" fillId="4" borderId="7" xfId="0" applyFont="1" applyFill="1" applyBorder="1" applyAlignment="1">
      <alignment vertical="center"/>
    </xf>
    <xf numFmtId="0" fontId="6" fillId="5" borderId="7" xfId="0" applyFont="1" applyFill="1" applyBorder="1" applyAlignment="1">
      <alignment vertical="center"/>
    </xf>
    <xf numFmtId="0" fontId="7" fillId="0" borderId="0" xfId="0" applyFont="1"/>
    <xf numFmtId="0" fontId="8" fillId="2" borderId="5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vertical="center"/>
    </xf>
    <xf numFmtId="0" fontId="6" fillId="4" borderId="7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10" fillId="0" borderId="12" xfId="0" applyFont="1" applyBorder="1" applyAlignment="1">
      <alignment horizontal="center" vertical="center"/>
    </xf>
    <xf numFmtId="9" fontId="6" fillId="0" borderId="12" xfId="0" applyNumberFormat="1" applyFont="1" applyBorder="1" applyAlignment="1">
      <alignment horizontal="center" vertical="center"/>
    </xf>
    <xf numFmtId="0" fontId="9" fillId="5" borderId="9" xfId="0" applyFont="1" applyFill="1" applyBorder="1" applyAlignment="1">
      <alignment vertical="center"/>
    </xf>
    <xf numFmtId="0" fontId="6" fillId="5" borderId="7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10" fillId="6" borderId="14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vertical="center"/>
    </xf>
    <xf numFmtId="9" fontId="6" fillId="6" borderId="12" xfId="0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left" vertical="center" wrapText="1"/>
    </xf>
    <xf numFmtId="0" fontId="11" fillId="0" borderId="0" xfId="0" applyFont="1"/>
    <xf numFmtId="0" fontId="6" fillId="0" borderId="9" xfId="0" applyFont="1" applyBorder="1" applyAlignment="1">
      <alignment horizontal="left" vertical="center"/>
    </xf>
    <xf numFmtId="0" fontId="10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9" fontId="6" fillId="0" borderId="15" xfId="0" applyNumberFormat="1" applyFont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9" fontId="6" fillId="0" borderId="13" xfId="0" applyNumberFormat="1" applyFont="1" applyBorder="1" applyAlignment="1">
      <alignment horizontal="center" vertical="center"/>
    </xf>
    <xf numFmtId="0" fontId="2" fillId="0" borderId="0" xfId="0" applyFont="1"/>
    <xf numFmtId="0" fontId="13" fillId="0" borderId="0" xfId="0" applyFont="1"/>
    <xf numFmtId="0" fontId="14" fillId="7" borderId="0" xfId="0" applyFont="1" applyFill="1" applyAlignment="1">
      <alignment horizontal="left" vertical="center"/>
    </xf>
    <xf numFmtId="3" fontId="14" fillId="7" borderId="0" xfId="0" applyNumberFormat="1" applyFont="1" applyFill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3" fontId="6" fillId="0" borderId="20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14" xfId="0" applyFont="1" applyBorder="1" applyAlignment="1">
      <alignment vertical="center"/>
    </xf>
    <xf numFmtId="0" fontId="13" fillId="0" borderId="21" xfId="0" applyFont="1" applyBorder="1" applyAlignment="1">
      <alignment horizontal="left" vertical="center"/>
    </xf>
    <xf numFmtId="0" fontId="13" fillId="8" borderId="21" xfId="0" applyFont="1" applyFill="1" applyBorder="1" applyAlignment="1">
      <alignment horizontal="left" vertical="center"/>
    </xf>
    <xf numFmtId="0" fontId="13" fillId="8" borderId="22" xfId="0" applyFont="1" applyFill="1" applyBorder="1" applyAlignment="1">
      <alignment vertical="center"/>
    </xf>
    <xf numFmtId="0" fontId="13" fillId="8" borderId="23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left" vertical="center"/>
    </xf>
    <xf numFmtId="0" fontId="13" fillId="9" borderId="22" xfId="0" applyFont="1" applyFill="1" applyBorder="1" applyAlignment="1">
      <alignment vertical="center"/>
    </xf>
    <xf numFmtId="0" fontId="13" fillId="9" borderId="23" xfId="0" applyFont="1" applyFill="1" applyBorder="1" applyAlignment="1">
      <alignment horizontal="center" vertical="center"/>
    </xf>
    <xf numFmtId="0" fontId="13" fillId="8" borderId="24" xfId="0" applyFont="1" applyFill="1" applyBorder="1" applyAlignment="1">
      <alignment vertical="center"/>
    </xf>
    <xf numFmtId="0" fontId="13" fillId="8" borderId="25" xfId="0" applyFont="1" applyFill="1" applyBorder="1" applyAlignment="1">
      <alignment horizontal="center" vertical="center"/>
    </xf>
    <xf numFmtId="0" fontId="13" fillId="8" borderId="0" xfId="0" applyFont="1" applyFill="1" applyAlignment="1">
      <alignment vertical="center"/>
    </xf>
    <xf numFmtId="0" fontId="13" fillId="8" borderId="26" xfId="0" applyFont="1" applyFill="1" applyBorder="1" applyAlignment="1">
      <alignment horizontal="center" vertical="center"/>
    </xf>
    <xf numFmtId="0" fontId="13" fillId="9" borderId="0" xfId="0" applyFont="1" applyFill="1" applyAlignment="1">
      <alignment vertical="center"/>
    </xf>
    <xf numFmtId="0" fontId="13" fillId="9" borderId="25" xfId="0" applyFont="1" applyFill="1" applyBorder="1" applyAlignment="1">
      <alignment horizontal="center" vertical="center"/>
    </xf>
    <xf numFmtId="0" fontId="13" fillId="9" borderId="27" xfId="0" applyFont="1" applyFill="1" applyBorder="1" applyAlignment="1">
      <alignment vertical="center"/>
    </xf>
    <xf numFmtId="0" fontId="13" fillId="9" borderId="28" xfId="0" applyFont="1" applyFill="1" applyBorder="1" applyAlignment="1">
      <alignment horizontal="center" vertical="center"/>
    </xf>
    <xf numFmtId="0" fontId="13" fillId="9" borderId="29" xfId="0" applyFont="1" applyFill="1" applyBorder="1" applyAlignment="1">
      <alignment horizontal="center" vertical="center"/>
    </xf>
    <xf numFmtId="0" fontId="13" fillId="9" borderId="30" xfId="0" applyFont="1" applyFill="1" applyBorder="1" applyAlignment="1">
      <alignment vertical="center"/>
    </xf>
    <xf numFmtId="0" fontId="13" fillId="9" borderId="31" xfId="0" applyFont="1" applyFill="1" applyBorder="1" applyAlignment="1">
      <alignment horizontal="center" vertical="center"/>
    </xf>
    <xf numFmtId="0" fontId="13" fillId="8" borderId="27" xfId="0" applyFont="1" applyFill="1" applyBorder="1" applyAlignment="1">
      <alignment vertical="center"/>
    </xf>
    <xf numFmtId="0" fontId="13" fillId="8" borderId="32" xfId="0" applyFont="1" applyFill="1" applyBorder="1" applyAlignment="1">
      <alignment horizontal="center" vertical="center"/>
    </xf>
    <xf numFmtId="0" fontId="13" fillId="8" borderId="33" xfId="0" applyFont="1" applyFill="1" applyBorder="1" applyAlignment="1">
      <alignment vertical="center"/>
    </xf>
    <xf numFmtId="0" fontId="13" fillId="8" borderId="29" xfId="0" applyFont="1" applyFill="1" applyBorder="1" applyAlignment="1">
      <alignment horizontal="center" vertical="center"/>
    </xf>
    <xf numFmtId="0" fontId="5" fillId="10" borderId="21" xfId="0" applyFont="1" applyFill="1" applyBorder="1" applyAlignment="1">
      <alignment horizontal="center"/>
    </xf>
    <xf numFmtId="0" fontId="15" fillId="10" borderId="10" xfId="0" applyFont="1" applyFill="1" applyBorder="1" applyAlignment="1">
      <alignment horizontal="center" vertical="center" wrapText="1"/>
    </xf>
    <xf numFmtId="0" fontId="15" fillId="10" borderId="2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vertical="center"/>
    </xf>
    <xf numFmtId="0" fontId="13" fillId="9" borderId="21" xfId="0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vertical="center"/>
    </xf>
    <xf numFmtId="0" fontId="13" fillId="8" borderId="21" xfId="0" applyFont="1" applyFill="1" applyBorder="1" applyAlignment="1">
      <alignment horizontal="center" vertical="center"/>
    </xf>
    <xf numFmtId="0" fontId="13" fillId="8" borderId="23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8" borderId="29" xfId="0" applyFont="1" applyFill="1" applyBorder="1" applyAlignment="1">
      <alignment vertical="center"/>
    </xf>
    <xf numFmtId="0" fontId="13" fillId="8" borderId="22" xfId="0" applyFont="1" applyFill="1" applyBorder="1" applyAlignment="1">
      <alignment horizontal="center" vertical="center"/>
    </xf>
    <xf numFmtId="0" fontId="13" fillId="8" borderId="27" xfId="0" applyFont="1" applyFill="1" applyBorder="1" applyAlignment="1">
      <alignment horizontal="center" vertical="center"/>
    </xf>
    <xf numFmtId="0" fontId="13" fillId="8" borderId="33" xfId="0" applyFont="1" applyFill="1" applyBorder="1" applyAlignment="1">
      <alignment horizontal="center" vertical="center"/>
    </xf>
    <xf numFmtId="0" fontId="13" fillId="9" borderId="25" xfId="0" applyFont="1" applyFill="1" applyBorder="1" applyAlignment="1">
      <alignment vertical="center"/>
    </xf>
    <xf numFmtId="0" fontId="13" fillId="9" borderId="24" xfId="0" applyFont="1" applyFill="1" applyBorder="1" applyAlignment="1">
      <alignment horizontal="center" vertical="center"/>
    </xf>
    <xf numFmtId="0" fontId="13" fillId="9" borderId="32" xfId="0" applyFont="1" applyFill="1" applyBorder="1" applyAlignment="1">
      <alignment vertical="center"/>
    </xf>
    <xf numFmtId="0" fontId="13" fillId="9" borderId="27" xfId="0" applyFont="1" applyFill="1" applyBorder="1" applyAlignment="1">
      <alignment horizontal="center" vertical="center"/>
    </xf>
    <xf numFmtId="0" fontId="13" fillId="9" borderId="29" xfId="0" applyFont="1" applyFill="1" applyBorder="1" applyAlignment="1">
      <alignment vertical="center"/>
    </xf>
    <xf numFmtId="0" fontId="13" fillId="9" borderId="33" xfId="0" applyFont="1" applyFill="1" applyBorder="1" applyAlignment="1">
      <alignment horizontal="center" vertical="center"/>
    </xf>
    <xf numFmtId="0" fontId="6" fillId="0" borderId="35" xfId="0" applyFont="1" applyBorder="1" applyAlignment="1">
      <alignment vertical="center"/>
    </xf>
    <xf numFmtId="0" fontId="10" fillId="0" borderId="35" xfId="0" applyFont="1" applyBorder="1" applyAlignment="1">
      <alignment horizontal="center" vertical="center"/>
    </xf>
    <xf numFmtId="9" fontId="6" fillId="0" borderId="35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0" fontId="6" fillId="3" borderId="36" xfId="0" applyFont="1" applyFill="1" applyBorder="1" applyAlignment="1">
      <alignment vertical="center"/>
    </xf>
    <xf numFmtId="0" fontId="6" fillId="4" borderId="36" xfId="0" applyFont="1" applyFill="1" applyBorder="1" applyAlignment="1">
      <alignment vertical="center"/>
    </xf>
    <xf numFmtId="0" fontId="6" fillId="5" borderId="36" xfId="0" applyFont="1" applyFill="1" applyBorder="1" applyAlignment="1">
      <alignment vertical="center"/>
    </xf>
    <xf numFmtId="3" fontId="6" fillId="6" borderId="5" xfId="0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6" fillId="0" borderId="10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9" fontId="9" fillId="11" borderId="17" xfId="0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3" fontId="6" fillId="0" borderId="37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13" fillId="9" borderId="38" xfId="0" applyFont="1" applyFill="1" applyBorder="1" applyAlignment="1">
      <alignment vertical="center"/>
    </xf>
    <xf numFmtId="0" fontId="13" fillId="9" borderId="49" xfId="0" applyFont="1" applyFill="1" applyBorder="1" applyAlignment="1">
      <alignment vertical="center"/>
    </xf>
    <xf numFmtId="9" fontId="9" fillId="3" borderId="26" xfId="0" applyNumberFormat="1" applyFont="1" applyFill="1" applyBorder="1" applyAlignment="1">
      <alignment horizontal="center" vertical="center"/>
    </xf>
    <xf numFmtId="9" fontId="6" fillId="0" borderId="19" xfId="0" applyNumberFormat="1" applyFont="1" applyBorder="1" applyAlignment="1">
      <alignment horizontal="center" vertical="center"/>
    </xf>
    <xf numFmtId="0" fontId="9" fillId="6" borderId="10" xfId="0" applyFont="1" applyFill="1" applyBorder="1" applyAlignment="1">
      <alignment horizontal="left" vertical="center"/>
    </xf>
    <xf numFmtId="0" fontId="9" fillId="6" borderId="14" xfId="0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9" fontId="9" fillId="5" borderId="17" xfId="0" applyNumberFormat="1" applyFont="1" applyFill="1" applyBorder="1" applyAlignment="1">
      <alignment horizontal="center" vertical="center"/>
    </xf>
    <xf numFmtId="9" fontId="9" fillId="11" borderId="26" xfId="0" applyNumberFormat="1" applyFont="1" applyFill="1" applyBorder="1" applyAlignment="1">
      <alignment horizontal="center" vertical="center"/>
    </xf>
    <xf numFmtId="9" fontId="9" fillId="3" borderId="26" xfId="0" applyNumberFormat="1" applyFont="1" applyFill="1" applyBorder="1" applyAlignment="1">
      <alignment horizontal="center" vertical="center"/>
    </xf>
    <xf numFmtId="9" fontId="9" fillId="3" borderId="31" xfId="0" applyNumberFormat="1" applyFont="1" applyFill="1" applyBorder="1" applyAlignment="1">
      <alignment horizontal="center" vertical="center"/>
    </xf>
    <xf numFmtId="9" fontId="6" fillId="0" borderId="19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/>
    </xf>
    <xf numFmtId="0" fontId="3" fillId="0" borderId="40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41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42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43" xfId="0" applyBorder="1" applyAlignment="1">
      <alignment horizontal="left"/>
    </xf>
    <xf numFmtId="0" fontId="4" fillId="2" borderId="4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0" borderId="4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46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3" fillId="0" borderId="47" xfId="0" applyFont="1" applyBorder="1" applyAlignment="1">
      <alignment horizontal="left"/>
    </xf>
    <xf numFmtId="0" fontId="3" fillId="0" borderId="48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13" fillId="8" borderId="23" xfId="0" applyFont="1" applyFill="1" applyBorder="1" applyAlignment="1">
      <alignment horizontal="left" vertical="center"/>
    </xf>
    <xf numFmtId="0" fontId="13" fillId="8" borderId="29" xfId="0" applyFont="1" applyFill="1" applyBorder="1" applyAlignment="1">
      <alignment horizontal="left" vertical="center"/>
    </xf>
    <xf numFmtId="0" fontId="13" fillId="8" borderId="32" xfId="0" applyFont="1" applyFill="1" applyBorder="1" applyAlignment="1">
      <alignment horizontal="left" vertical="center"/>
    </xf>
    <xf numFmtId="0" fontId="13" fillId="9" borderId="25" xfId="0" applyFont="1" applyFill="1" applyBorder="1" applyAlignment="1">
      <alignment horizontal="left" vertical="center"/>
    </xf>
    <xf numFmtId="0" fontId="13" fillId="9" borderId="32" xfId="0" applyFont="1" applyFill="1" applyBorder="1" applyAlignment="1">
      <alignment horizontal="left" vertical="center"/>
    </xf>
    <xf numFmtId="0" fontId="13" fillId="9" borderId="28" xfId="0" applyFont="1" applyFill="1" applyBorder="1" applyAlignment="1">
      <alignment horizontal="left" vertical="center"/>
    </xf>
    <xf numFmtId="0" fontId="13" fillId="9" borderId="34" xfId="0" applyFont="1" applyFill="1" applyBorder="1" applyAlignment="1">
      <alignment horizontal="left" vertical="center"/>
    </xf>
    <xf numFmtId="0" fontId="13" fillId="9" borderId="31" xfId="0" applyFont="1" applyFill="1" applyBorder="1" applyAlignment="1">
      <alignment horizontal="left" vertical="center"/>
    </xf>
    <xf numFmtId="0" fontId="13" fillId="8" borderId="34" xfId="0" applyFont="1" applyFill="1" applyBorder="1" applyAlignment="1">
      <alignment horizontal="left" vertical="center"/>
    </xf>
    <xf numFmtId="0" fontId="13" fillId="8" borderId="26" xfId="0" applyFont="1" applyFill="1" applyBorder="1" applyAlignment="1">
      <alignment horizontal="left" vertical="center"/>
    </xf>
    <xf numFmtId="0" fontId="13" fillId="8" borderId="31" xfId="0" applyFont="1" applyFill="1" applyBorder="1" applyAlignment="1">
      <alignment horizontal="left" vertical="center"/>
    </xf>
    <xf numFmtId="0" fontId="13" fillId="9" borderId="26" xfId="0" applyFont="1" applyFill="1" applyBorder="1" applyAlignment="1">
      <alignment horizontal="left" vertical="center"/>
    </xf>
    <xf numFmtId="0" fontId="13" fillId="8" borderId="25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</xdr:colOff>
      <xdr:row>19</xdr:row>
      <xdr:rowOff>19050</xdr:rowOff>
    </xdr:from>
    <xdr:to>
      <xdr:col>7</xdr:col>
      <xdr:colOff>613500</xdr:colOff>
      <xdr:row>20</xdr:row>
      <xdr:rowOff>194347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5225" y="4724400"/>
          <a:ext cx="1036410" cy="4267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219075</xdr:colOff>
      <xdr:row>18</xdr:row>
      <xdr:rowOff>9525</xdr:rowOff>
    </xdr:from>
    <xdr:to>
      <xdr:col>7</xdr:col>
      <xdr:colOff>645885</xdr:colOff>
      <xdr:row>19</xdr:row>
      <xdr:rowOff>188632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6650" y="4467225"/>
          <a:ext cx="1036410" cy="4267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22</xdr:row>
      <xdr:rowOff>19050</xdr:rowOff>
    </xdr:from>
    <xdr:to>
      <xdr:col>7</xdr:col>
      <xdr:colOff>643980</xdr:colOff>
      <xdr:row>23</xdr:row>
      <xdr:rowOff>194347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67625" y="5314950"/>
          <a:ext cx="1036410" cy="4267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104775</xdr:colOff>
      <xdr:row>20</xdr:row>
      <xdr:rowOff>0</xdr:rowOff>
    </xdr:from>
    <xdr:to>
      <xdr:col>7</xdr:col>
      <xdr:colOff>645885</xdr:colOff>
      <xdr:row>21</xdr:row>
      <xdr:rowOff>181012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7150" y="4800600"/>
          <a:ext cx="1036410" cy="4267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22</xdr:row>
      <xdr:rowOff>0</xdr:rowOff>
    </xdr:from>
    <xdr:to>
      <xdr:col>7</xdr:col>
      <xdr:colOff>643980</xdr:colOff>
      <xdr:row>23</xdr:row>
      <xdr:rowOff>186727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5725" y="5257800"/>
          <a:ext cx="1036410" cy="42675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19</xdr:row>
      <xdr:rowOff>19050</xdr:rowOff>
    </xdr:from>
    <xdr:to>
      <xdr:col>7</xdr:col>
      <xdr:colOff>600165</xdr:colOff>
      <xdr:row>20</xdr:row>
      <xdr:rowOff>196252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9525" y="4572000"/>
          <a:ext cx="1036410" cy="4267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workbookViewId="0"/>
  </sheetViews>
  <sheetFormatPr defaultColWidth="9.140625" defaultRowHeight="15"/>
  <cols>
    <col min="1" max="1" width="1.140625" style="38" customWidth="1"/>
    <col min="2" max="2" width="9.140625" style="38"/>
    <col min="3" max="3" width="22.85546875" style="38" customWidth="1"/>
    <col min="4" max="4" width="9.140625" style="38"/>
    <col min="5" max="5" width="26.5703125" style="38" bestFit="1" customWidth="1"/>
    <col min="6" max="6" width="11.28515625" style="38" bestFit="1" customWidth="1"/>
    <col min="7" max="7" width="9.140625" style="38"/>
    <col min="8" max="8" width="21.7109375" style="38" customWidth="1"/>
    <col min="9" max="16384" width="9.140625" style="38"/>
  </cols>
  <sheetData>
    <row r="1" spans="1:15">
      <c r="B1" s="124" t="s">
        <v>0</v>
      </c>
      <c r="C1" s="124"/>
      <c r="D1" s="124"/>
      <c r="E1" s="124"/>
      <c r="F1" s="124"/>
      <c r="G1" s="124"/>
      <c r="H1" s="124"/>
    </row>
    <row r="2" spans="1:15" ht="15.75" thickBot="1">
      <c r="B2" s="125"/>
      <c r="C2" s="125"/>
      <c r="D2" s="125"/>
      <c r="E2" s="125"/>
      <c r="F2" s="125"/>
      <c r="G2" s="125"/>
      <c r="H2" s="125"/>
    </row>
    <row r="3" spans="1:15" ht="26.25" thickBot="1">
      <c r="B3" s="126" t="s">
        <v>1</v>
      </c>
      <c r="C3" s="127"/>
      <c r="D3" s="127"/>
      <c r="E3" s="128"/>
      <c r="F3" s="43" t="s">
        <v>2</v>
      </c>
      <c r="G3" s="43" t="s">
        <v>3</v>
      </c>
      <c r="H3" s="17" t="s">
        <v>4</v>
      </c>
      <c r="I3"/>
      <c r="J3"/>
      <c r="K3"/>
      <c r="L3"/>
      <c r="M3"/>
      <c r="N3"/>
      <c r="O3"/>
    </row>
    <row r="4" spans="1:15" ht="15.75" thickBot="1">
      <c r="B4" s="18" t="s">
        <v>5</v>
      </c>
      <c r="C4" s="13"/>
      <c r="D4" s="19"/>
      <c r="E4" s="13"/>
      <c r="F4" s="19"/>
      <c r="G4" s="13"/>
      <c r="H4" s="106"/>
    </row>
    <row r="5" spans="1:15" ht="23.25" thickBot="1">
      <c r="A5" s="16"/>
      <c r="B5" s="120">
        <v>1</v>
      </c>
      <c r="C5" s="44" t="s">
        <v>6</v>
      </c>
      <c r="D5" s="121">
        <v>1</v>
      </c>
      <c r="E5" s="41" t="s">
        <v>7</v>
      </c>
      <c r="F5" s="40" t="s">
        <v>8</v>
      </c>
      <c r="G5" s="41">
        <v>1</v>
      </c>
      <c r="H5" s="56">
        <f>E8*G5</f>
        <v>100000</v>
      </c>
    </row>
    <row r="6" spans="1:15" ht="15.75" thickBot="1">
      <c r="A6" s="16"/>
      <c r="B6" s="122" t="s">
        <v>9</v>
      </c>
      <c r="C6" s="123"/>
      <c r="D6" s="34"/>
      <c r="E6" s="35"/>
      <c r="F6" s="34"/>
      <c r="G6" s="36">
        <f>SUM(G5:G5)</f>
        <v>1</v>
      </c>
      <c r="H6" s="109">
        <f>SUM(H5:H5)</f>
        <v>100000</v>
      </c>
    </row>
    <row r="7" spans="1:15">
      <c r="A7" s="16"/>
      <c r="B7" s="16"/>
      <c r="C7" s="16"/>
      <c r="D7" s="16"/>
      <c r="E7" s="16"/>
      <c r="F7" s="16"/>
      <c r="G7" s="16"/>
      <c r="H7" s="16"/>
    </row>
    <row r="8" spans="1:15" ht="15.75">
      <c r="A8" s="16"/>
      <c r="B8" s="16"/>
      <c r="C8" s="52" t="s">
        <v>10</v>
      </c>
      <c r="D8" s="16"/>
      <c r="E8" s="53">
        <v>100000</v>
      </c>
      <c r="F8" s="16"/>
      <c r="G8" s="16"/>
      <c r="H8" s="16"/>
    </row>
    <row r="9" spans="1:15">
      <c r="A9" s="16"/>
    </row>
    <row r="10" spans="1:15">
      <c r="A10" s="16"/>
      <c r="B10" s="124" t="s">
        <v>11</v>
      </c>
      <c r="C10" s="124"/>
      <c r="D10" s="124"/>
      <c r="E10" s="124"/>
      <c r="F10" s="124"/>
      <c r="G10" s="124"/>
      <c r="H10" s="124"/>
    </row>
    <row r="11" spans="1:15" ht="15.75" thickBot="1">
      <c r="A11" s="16"/>
      <c r="B11" s="125"/>
      <c r="C11" s="125"/>
      <c r="D11" s="125"/>
      <c r="E11" s="125"/>
      <c r="F11" s="125"/>
      <c r="G11" s="125"/>
      <c r="H11" s="125"/>
    </row>
    <row r="12" spans="1:15" ht="26.25" thickBot="1">
      <c r="A12" s="16"/>
      <c r="B12" s="126" t="s">
        <v>1</v>
      </c>
      <c r="C12" s="127"/>
      <c r="D12" s="127"/>
      <c r="E12" s="128"/>
      <c r="F12" s="43" t="s">
        <v>2</v>
      </c>
      <c r="G12" s="43" t="s">
        <v>3</v>
      </c>
      <c r="H12" s="17" t="s">
        <v>4</v>
      </c>
    </row>
    <row r="13" spans="1:15" ht="15.75" thickBot="1">
      <c r="B13" s="18" t="s">
        <v>5</v>
      </c>
      <c r="C13" s="13"/>
      <c r="D13" s="19"/>
      <c r="E13" s="13"/>
      <c r="F13" s="19"/>
      <c r="G13" s="13"/>
      <c r="H13" s="106"/>
    </row>
    <row r="14" spans="1:15" ht="23.25" thickBot="1">
      <c r="B14" s="120">
        <v>1</v>
      </c>
      <c r="C14" s="44" t="s">
        <v>6</v>
      </c>
      <c r="D14" s="121">
        <v>1</v>
      </c>
      <c r="E14" s="41" t="s">
        <v>12</v>
      </c>
      <c r="F14" s="40" t="s">
        <v>13</v>
      </c>
      <c r="G14" s="41">
        <v>1</v>
      </c>
      <c r="H14" s="56">
        <f>E17*G14</f>
        <v>100000</v>
      </c>
    </row>
    <row r="15" spans="1:15" ht="15.75" thickBot="1">
      <c r="B15" s="122" t="s">
        <v>9</v>
      </c>
      <c r="C15" s="123"/>
      <c r="D15" s="34"/>
      <c r="E15" s="35"/>
      <c r="F15" s="34"/>
      <c r="G15" s="36">
        <f>SUM(G14:G14)</f>
        <v>1</v>
      </c>
      <c r="H15" s="109">
        <f>SUM(H14:H14)</f>
        <v>100000</v>
      </c>
    </row>
    <row r="16" spans="1:15">
      <c r="B16" s="16"/>
      <c r="C16" s="16"/>
      <c r="D16" s="16"/>
      <c r="E16" s="16"/>
      <c r="F16" s="16"/>
      <c r="G16" s="16"/>
      <c r="H16" s="16"/>
    </row>
    <row r="17" spans="2:8" ht="15.75">
      <c r="B17" s="16"/>
      <c r="C17" s="52" t="s">
        <v>10</v>
      </c>
      <c r="D17" s="16"/>
      <c r="E17" s="53">
        <v>100000</v>
      </c>
      <c r="F17" s="16"/>
      <c r="G17" s="16"/>
      <c r="H17" s="16"/>
    </row>
    <row r="18" spans="2:8" ht="15" customHeight="1"/>
    <row r="19" spans="2:8" ht="15.75" customHeight="1"/>
    <row r="20" spans="2:8" ht="26.25" customHeight="1"/>
  </sheetData>
  <mergeCells count="6">
    <mergeCell ref="B6:C6"/>
    <mergeCell ref="B10:H11"/>
    <mergeCell ref="B12:E12"/>
    <mergeCell ref="B15:C15"/>
    <mergeCell ref="B1:H2"/>
    <mergeCell ref="B3:E3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8"/>
  <sheetViews>
    <sheetView workbookViewId="0"/>
  </sheetViews>
  <sheetFormatPr defaultColWidth="9.140625" defaultRowHeight="20.100000000000001" customHeight="1"/>
  <cols>
    <col min="1" max="2" width="9.140625" style="16"/>
    <col min="3" max="3" width="33.28515625" style="16" bestFit="1" customWidth="1"/>
    <col min="4" max="4" width="9.140625" style="16"/>
    <col min="5" max="5" width="37.85546875" style="16" customWidth="1"/>
    <col min="6" max="6" width="11.28515625" style="16" bestFit="1" customWidth="1"/>
    <col min="7" max="7" width="9.140625" style="16"/>
    <col min="8" max="8" width="10.85546875" style="16" customWidth="1"/>
    <col min="9" max="9" width="3.85546875" style="16" customWidth="1"/>
    <col min="10" max="16384" width="9.140625" style="16"/>
  </cols>
  <sheetData>
    <row r="1" spans="2:8" ht="20.100000000000001" customHeight="1">
      <c r="B1" s="124" t="s">
        <v>14</v>
      </c>
      <c r="C1" s="124"/>
      <c r="D1" s="124"/>
      <c r="E1" s="124"/>
      <c r="F1" s="124"/>
      <c r="G1" s="124"/>
      <c r="H1" s="124"/>
    </row>
    <row r="2" spans="2:8" ht="20.100000000000001" customHeight="1" thickBot="1">
      <c r="B2" s="125"/>
      <c r="C2" s="125"/>
      <c r="D2" s="125"/>
      <c r="E2" s="125"/>
      <c r="F2" s="125"/>
      <c r="G2" s="125"/>
      <c r="H2" s="125"/>
    </row>
    <row r="3" spans="2:8" ht="20.100000000000001" customHeight="1" thickBot="1">
      <c r="B3" s="126" t="s">
        <v>15</v>
      </c>
      <c r="C3" s="127"/>
      <c r="D3" s="127"/>
      <c r="E3" s="128"/>
      <c r="F3" s="43" t="s">
        <v>2</v>
      </c>
      <c r="G3" s="43" t="s">
        <v>3</v>
      </c>
      <c r="H3" s="17" t="s">
        <v>4</v>
      </c>
    </row>
    <row r="4" spans="2:8" ht="20.100000000000001" customHeight="1" thickBot="1">
      <c r="B4" s="18" t="s">
        <v>5</v>
      </c>
      <c r="C4" s="13"/>
      <c r="D4" s="19"/>
      <c r="E4" s="13"/>
      <c r="F4" s="19"/>
      <c r="G4" s="13"/>
      <c r="H4" s="106"/>
    </row>
    <row r="5" spans="2:8" ht="20.100000000000001" customHeight="1" thickBot="1">
      <c r="B5" s="135">
        <v>0.7</v>
      </c>
      <c r="C5" s="44" t="s">
        <v>6</v>
      </c>
      <c r="D5" s="45" t="s">
        <v>16</v>
      </c>
      <c r="E5" s="41"/>
      <c r="F5" s="40"/>
      <c r="G5" s="41"/>
      <c r="H5" s="56">
        <f>E18*G5</f>
        <v>0</v>
      </c>
    </row>
    <row r="6" spans="2:8" ht="20.100000000000001" customHeight="1" thickBot="1">
      <c r="B6" s="135"/>
      <c r="C6" s="39" t="s">
        <v>17</v>
      </c>
      <c r="D6" s="45" t="s">
        <v>18</v>
      </c>
      <c r="E6" s="23" t="s">
        <v>19</v>
      </c>
      <c r="F6" s="24" t="s">
        <v>20</v>
      </c>
      <c r="G6" s="12">
        <v>0.5</v>
      </c>
      <c r="H6" s="54">
        <f>E18*G6</f>
        <v>50000</v>
      </c>
    </row>
    <row r="7" spans="2:8" ht="20.100000000000001" customHeight="1" thickBot="1">
      <c r="B7" s="136"/>
      <c r="C7" s="44" t="s">
        <v>21</v>
      </c>
      <c r="D7" s="45" t="s">
        <v>22</v>
      </c>
      <c r="E7" s="37" t="s">
        <v>23</v>
      </c>
      <c r="F7" s="40" t="s">
        <v>24</v>
      </c>
      <c r="G7" s="42">
        <v>0.2</v>
      </c>
      <c r="H7" s="56">
        <f>E18*G7</f>
        <v>20000</v>
      </c>
    </row>
    <row r="8" spans="2:8" ht="20.100000000000001" customHeight="1" thickBot="1">
      <c r="B8" s="20" t="s">
        <v>25</v>
      </c>
      <c r="C8" s="14"/>
      <c r="D8" s="21"/>
      <c r="E8" s="14"/>
      <c r="F8" s="22"/>
      <c r="G8" s="14"/>
      <c r="H8" s="107"/>
    </row>
    <row r="9" spans="2:8" ht="20.100000000000001" customHeight="1" thickBot="1">
      <c r="B9" s="134">
        <v>0.2</v>
      </c>
      <c r="C9" s="129" t="s">
        <v>26</v>
      </c>
      <c r="D9" s="131" t="s">
        <v>27</v>
      </c>
      <c r="E9" s="23" t="s">
        <v>28</v>
      </c>
      <c r="F9" s="24" t="s">
        <v>29</v>
      </c>
      <c r="G9" s="12">
        <v>0.05</v>
      </c>
      <c r="H9" s="54">
        <f>E18*G9</f>
        <v>5000</v>
      </c>
    </row>
    <row r="10" spans="2:8" ht="20.100000000000001" customHeight="1" thickBot="1">
      <c r="B10" s="134"/>
      <c r="C10" s="130"/>
      <c r="D10" s="132"/>
      <c r="E10" s="23" t="s">
        <v>30</v>
      </c>
      <c r="F10" s="103" t="s">
        <v>31</v>
      </c>
      <c r="G10" s="104">
        <v>0.15</v>
      </c>
      <c r="H10" s="105">
        <f>E18*G10</f>
        <v>15000</v>
      </c>
    </row>
    <row r="11" spans="2:8" ht="20.100000000000001" customHeight="1" thickBot="1">
      <c r="B11" s="134"/>
      <c r="C11" s="39" t="s">
        <v>32</v>
      </c>
      <c r="D11" s="45" t="s">
        <v>33</v>
      </c>
      <c r="E11" s="41"/>
      <c r="F11" s="40"/>
      <c r="G11" s="42">
        <v>0</v>
      </c>
      <c r="H11" s="56">
        <f>E18*G11</f>
        <v>0</v>
      </c>
    </row>
    <row r="12" spans="2:8" ht="20.100000000000001" customHeight="1" thickBot="1">
      <c r="B12" s="30" t="s">
        <v>34</v>
      </c>
      <c r="C12" s="15"/>
      <c r="D12" s="31"/>
      <c r="E12" s="15"/>
      <c r="F12" s="32"/>
      <c r="G12" s="15"/>
      <c r="H12" s="108"/>
    </row>
    <row r="13" spans="2:8" ht="20.100000000000001" customHeight="1" thickBot="1">
      <c r="B13" s="133">
        <v>0.1</v>
      </c>
      <c r="C13" s="25" t="s">
        <v>35</v>
      </c>
      <c r="D13" s="26" t="s">
        <v>16</v>
      </c>
      <c r="E13" s="23"/>
      <c r="F13" s="103"/>
      <c r="G13" s="29">
        <v>0</v>
      </c>
      <c r="H13" s="58">
        <v>0</v>
      </c>
    </row>
    <row r="14" spans="2:8" ht="20.100000000000001" customHeight="1" thickBot="1">
      <c r="B14" s="133"/>
      <c r="C14" s="46" t="s">
        <v>36</v>
      </c>
      <c r="D14" s="47" t="s">
        <v>16</v>
      </c>
      <c r="E14" s="33"/>
      <c r="F14" s="48"/>
      <c r="G14" s="49">
        <v>0</v>
      </c>
      <c r="H14" s="57">
        <v>0</v>
      </c>
    </row>
    <row r="15" spans="2:8" ht="20.100000000000001" customHeight="1" thickBot="1">
      <c r="B15" s="133"/>
      <c r="C15" s="25" t="s">
        <v>37</v>
      </c>
      <c r="D15" s="26" t="s">
        <v>16</v>
      </c>
      <c r="E15" s="23" t="s">
        <v>38</v>
      </c>
      <c r="F15" s="103" t="s">
        <v>39</v>
      </c>
      <c r="G15" s="29">
        <v>0.1</v>
      </c>
      <c r="H15" s="58">
        <f>E20*G15</f>
        <v>0</v>
      </c>
    </row>
    <row r="16" spans="2:8" ht="20.100000000000001" customHeight="1" thickBot="1">
      <c r="B16" s="122" t="s">
        <v>9</v>
      </c>
      <c r="C16" s="123"/>
      <c r="D16" s="34"/>
      <c r="E16" s="35"/>
      <c r="F16" s="34"/>
      <c r="G16" s="36">
        <f>SUM(G5:G15)</f>
        <v>1</v>
      </c>
      <c r="H16" s="109">
        <f>SUM(H5:H15)</f>
        <v>90000</v>
      </c>
    </row>
    <row r="18" spans="3:5" ht="20.100000000000001" customHeight="1">
      <c r="C18" s="52" t="s">
        <v>10</v>
      </c>
      <c r="E18" s="53">
        <v>100000</v>
      </c>
    </row>
  </sheetData>
  <mergeCells count="8">
    <mergeCell ref="C9:C10"/>
    <mergeCell ref="D9:D10"/>
    <mergeCell ref="B1:H2"/>
    <mergeCell ref="B13:B15"/>
    <mergeCell ref="B16:C16"/>
    <mergeCell ref="B9:B11"/>
    <mergeCell ref="B3:E3"/>
    <mergeCell ref="B5:B7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3"/>
  <sheetViews>
    <sheetView workbookViewId="0"/>
  </sheetViews>
  <sheetFormatPr defaultColWidth="9.140625" defaultRowHeight="20.100000000000001" customHeight="1"/>
  <cols>
    <col min="1" max="2" width="9.140625" style="16"/>
    <col min="3" max="3" width="33.28515625" style="16" bestFit="1" customWidth="1"/>
    <col min="4" max="4" width="9.140625" style="16"/>
    <col min="5" max="5" width="37" style="16" bestFit="1" customWidth="1"/>
    <col min="6" max="6" width="11.28515625" style="16" bestFit="1" customWidth="1"/>
    <col min="7" max="7" width="9.140625" style="16"/>
    <col min="8" max="8" width="10.85546875" style="16" customWidth="1"/>
    <col min="9" max="9" width="3.85546875" style="16" customWidth="1"/>
    <col min="10" max="16384" width="9.140625" style="16"/>
  </cols>
  <sheetData>
    <row r="1" spans="2:8" ht="20.100000000000001" customHeight="1">
      <c r="B1" s="124" t="s">
        <v>14</v>
      </c>
      <c r="C1" s="124"/>
      <c r="D1" s="124"/>
      <c r="E1" s="124"/>
      <c r="F1" s="124"/>
      <c r="G1" s="124"/>
      <c r="H1" s="124"/>
    </row>
    <row r="2" spans="2:8" ht="20.100000000000001" customHeight="1" thickBot="1">
      <c r="B2" s="125"/>
      <c r="C2" s="125"/>
      <c r="D2" s="125"/>
      <c r="E2" s="125"/>
      <c r="F2" s="125"/>
      <c r="G2" s="125"/>
      <c r="H2" s="125"/>
    </row>
    <row r="3" spans="2:8" ht="20.100000000000001" customHeight="1" thickBot="1">
      <c r="B3" s="126" t="s">
        <v>40</v>
      </c>
      <c r="C3" s="127"/>
      <c r="D3" s="127"/>
      <c r="E3" s="128"/>
      <c r="F3" s="43" t="s">
        <v>2</v>
      </c>
      <c r="G3" s="43" t="s">
        <v>3</v>
      </c>
      <c r="H3" s="17" t="s">
        <v>4</v>
      </c>
    </row>
    <row r="4" spans="2:8" ht="20.100000000000001" customHeight="1" thickBot="1">
      <c r="B4" s="18" t="s">
        <v>5</v>
      </c>
      <c r="C4" s="13"/>
      <c r="D4" s="19"/>
      <c r="E4" s="13"/>
      <c r="F4" s="19"/>
      <c r="G4" s="13"/>
      <c r="H4" s="106"/>
    </row>
    <row r="5" spans="2:8" ht="20.100000000000001" customHeight="1" thickBot="1">
      <c r="B5" s="135">
        <v>0.9</v>
      </c>
      <c r="C5" s="44" t="s">
        <v>6</v>
      </c>
      <c r="D5" s="45" t="s">
        <v>16</v>
      </c>
      <c r="E5" s="41"/>
      <c r="F5" s="40"/>
      <c r="G5" s="12">
        <v>0</v>
      </c>
      <c r="H5" s="56">
        <f>E13*G5</f>
        <v>0</v>
      </c>
    </row>
    <row r="6" spans="2:8" ht="20.100000000000001" customHeight="1" thickBot="1">
      <c r="B6" s="135"/>
      <c r="C6" s="39" t="s">
        <v>17</v>
      </c>
      <c r="D6" s="45" t="s">
        <v>41</v>
      </c>
      <c r="E6" s="23" t="s">
        <v>19</v>
      </c>
      <c r="F6" s="24" t="s">
        <v>20</v>
      </c>
      <c r="G6" s="12">
        <v>0.7</v>
      </c>
      <c r="H6" s="54">
        <f>E13*G6</f>
        <v>70000</v>
      </c>
    </row>
    <row r="7" spans="2:8" ht="20.100000000000001" customHeight="1" thickBot="1">
      <c r="B7" s="136"/>
      <c r="C7" s="44" t="s">
        <v>21</v>
      </c>
      <c r="D7" s="45" t="s">
        <v>42</v>
      </c>
      <c r="E7" s="37" t="s">
        <v>23</v>
      </c>
      <c r="F7" s="40" t="s">
        <v>24</v>
      </c>
      <c r="G7" s="42">
        <v>0.2</v>
      </c>
      <c r="H7" s="56">
        <f>E13*G7</f>
        <v>20000</v>
      </c>
    </row>
    <row r="8" spans="2:8" ht="20.100000000000001" customHeight="1" thickBot="1">
      <c r="B8" s="20" t="s">
        <v>25</v>
      </c>
      <c r="C8" s="14"/>
      <c r="D8" s="21"/>
      <c r="E8" s="14"/>
      <c r="F8" s="22"/>
      <c r="G8" s="14"/>
      <c r="H8" s="107"/>
    </row>
    <row r="9" spans="2:8" ht="20.100000000000001" customHeight="1">
      <c r="B9" s="134">
        <v>0.1</v>
      </c>
      <c r="C9" s="129" t="s">
        <v>26</v>
      </c>
      <c r="D9" s="137">
        <v>0.1</v>
      </c>
      <c r="E9" s="23" t="s">
        <v>28</v>
      </c>
      <c r="F9" s="24" t="s">
        <v>29</v>
      </c>
      <c r="G9" s="12">
        <v>0.05</v>
      </c>
      <c r="H9" s="54">
        <f>E13*G9</f>
        <v>5000</v>
      </c>
    </row>
    <row r="10" spans="2:8" ht="20.100000000000001" customHeight="1" thickBot="1">
      <c r="B10" s="134"/>
      <c r="C10" s="130"/>
      <c r="D10" s="132"/>
      <c r="E10" s="102" t="s">
        <v>30</v>
      </c>
      <c r="F10" s="103" t="s">
        <v>31</v>
      </c>
      <c r="G10" s="104">
        <v>0.05</v>
      </c>
      <c r="H10" s="105">
        <f>E13*G10</f>
        <v>5000</v>
      </c>
    </row>
    <row r="11" spans="2:8" ht="20.100000000000001" customHeight="1" thickBot="1">
      <c r="B11" s="122" t="s">
        <v>9</v>
      </c>
      <c r="C11" s="123"/>
      <c r="D11" s="34"/>
      <c r="E11" s="35"/>
      <c r="F11" s="34"/>
      <c r="G11" s="36">
        <f>SUM(G5:G10)</f>
        <v>1</v>
      </c>
      <c r="H11" s="109">
        <f>SUM(H5:H10)</f>
        <v>100000</v>
      </c>
    </row>
    <row r="13" spans="2:8" ht="20.100000000000001" customHeight="1">
      <c r="C13" s="52" t="s">
        <v>10</v>
      </c>
      <c r="E13" s="53">
        <v>100000</v>
      </c>
    </row>
  </sheetData>
  <mergeCells count="7">
    <mergeCell ref="B11:C11"/>
    <mergeCell ref="B1:H2"/>
    <mergeCell ref="B3:E3"/>
    <mergeCell ref="B5:B7"/>
    <mergeCell ref="B9:B10"/>
    <mergeCell ref="C9:C10"/>
    <mergeCell ref="D9:D10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workbookViewId="0"/>
  </sheetViews>
  <sheetFormatPr defaultRowHeight="12.75"/>
  <cols>
    <col min="1" max="1" width="3" customWidth="1"/>
    <col min="3" max="3" width="33.28515625" customWidth="1"/>
    <col min="4" max="4" width="8.140625" customWidth="1"/>
    <col min="5" max="5" width="48.7109375" bestFit="1" customWidth="1"/>
    <col min="6" max="6" width="11.28515625" bestFit="1" customWidth="1"/>
    <col min="7" max="7" width="7.42578125" customWidth="1"/>
    <col min="8" max="8" width="10.42578125" customWidth="1"/>
  </cols>
  <sheetData>
    <row r="1" spans="1:9" ht="20.100000000000001" customHeight="1">
      <c r="A1" s="50"/>
      <c r="B1" s="124" t="s">
        <v>43</v>
      </c>
      <c r="C1" s="124"/>
      <c r="D1" s="124"/>
      <c r="E1" s="124"/>
      <c r="F1" s="124"/>
      <c r="G1" s="124"/>
      <c r="H1" s="124"/>
      <c r="I1" s="16"/>
    </row>
    <row r="2" spans="1:9" ht="7.5" customHeight="1" thickBot="1">
      <c r="B2" s="125"/>
      <c r="C2" s="125"/>
      <c r="D2" s="125"/>
      <c r="E2" s="125"/>
      <c r="F2" s="125"/>
      <c r="G2" s="125"/>
      <c r="H2" s="125"/>
      <c r="I2" s="16"/>
    </row>
    <row r="3" spans="1:9" ht="20.100000000000001" customHeight="1" thickBot="1">
      <c r="B3" s="126" t="s">
        <v>44</v>
      </c>
      <c r="C3" s="127"/>
      <c r="D3" s="127"/>
      <c r="E3" s="128"/>
      <c r="F3" s="43" t="s">
        <v>2</v>
      </c>
      <c r="G3" s="43" t="s">
        <v>3</v>
      </c>
      <c r="H3" s="17" t="s">
        <v>4</v>
      </c>
      <c r="I3" s="16"/>
    </row>
    <row r="4" spans="1:9" ht="20.100000000000001" customHeight="1" thickBot="1">
      <c r="B4" s="18" t="s">
        <v>5</v>
      </c>
      <c r="C4" s="13"/>
      <c r="D4" s="19"/>
      <c r="E4" s="13"/>
      <c r="F4" s="19"/>
      <c r="G4" s="13"/>
      <c r="H4" s="106"/>
      <c r="I4" s="16"/>
    </row>
    <row r="5" spans="1:9" ht="20.100000000000001" customHeight="1" thickBot="1">
      <c r="B5" s="135">
        <v>0.5</v>
      </c>
      <c r="C5" s="44" t="s">
        <v>6</v>
      </c>
      <c r="D5" s="45" t="s">
        <v>33</v>
      </c>
      <c r="E5" s="41"/>
      <c r="F5" s="40"/>
      <c r="G5" s="12">
        <v>0</v>
      </c>
      <c r="H5" s="56">
        <f>E21*G5</f>
        <v>0</v>
      </c>
      <c r="I5" s="16"/>
    </row>
    <row r="6" spans="1:9" ht="20.100000000000001" customHeight="1" thickBot="1">
      <c r="B6" s="135"/>
      <c r="C6" s="39" t="s">
        <v>17</v>
      </c>
      <c r="D6" s="45" t="s">
        <v>45</v>
      </c>
      <c r="E6" s="23" t="s">
        <v>19</v>
      </c>
      <c r="F6" s="24" t="s">
        <v>20</v>
      </c>
      <c r="G6" s="12">
        <v>0.25</v>
      </c>
      <c r="H6" s="54">
        <f>E21*G6</f>
        <v>25000</v>
      </c>
      <c r="I6" s="16"/>
    </row>
    <row r="7" spans="1:9" ht="20.100000000000001" customHeight="1" thickBot="1">
      <c r="B7" s="135"/>
      <c r="C7" s="111" t="s">
        <v>21</v>
      </c>
      <c r="D7" s="26" t="s">
        <v>46</v>
      </c>
      <c r="E7" s="112" t="s">
        <v>23</v>
      </c>
      <c r="F7" s="28" t="s">
        <v>24</v>
      </c>
      <c r="G7" s="29">
        <v>0.1</v>
      </c>
      <c r="H7" s="55">
        <f>E21*G7</f>
        <v>10000</v>
      </c>
      <c r="I7" s="16"/>
    </row>
    <row r="8" spans="1:9" ht="20.100000000000001" customHeight="1" thickBot="1">
      <c r="B8" s="135"/>
      <c r="C8" s="46" t="s">
        <v>47</v>
      </c>
      <c r="D8" s="47" t="s">
        <v>16</v>
      </c>
      <c r="E8" s="110" t="s">
        <v>48</v>
      </c>
      <c r="F8" s="48" t="s">
        <v>49</v>
      </c>
      <c r="G8" s="49">
        <v>0.1</v>
      </c>
      <c r="H8" s="55">
        <f>E21*G8</f>
        <v>10000</v>
      </c>
      <c r="I8" s="16"/>
    </row>
    <row r="9" spans="1:9" ht="20.100000000000001" customHeight="1" thickBot="1">
      <c r="B9" s="136"/>
      <c r="C9" s="44" t="s">
        <v>50</v>
      </c>
      <c r="D9" s="45" t="s">
        <v>33</v>
      </c>
      <c r="E9" s="37" t="s">
        <v>51</v>
      </c>
      <c r="F9" s="40" t="s">
        <v>52</v>
      </c>
      <c r="G9" s="42">
        <v>0.05</v>
      </c>
      <c r="H9" s="56">
        <f>E21*G9</f>
        <v>5000</v>
      </c>
      <c r="I9" s="16"/>
    </row>
    <row r="10" spans="1:9" ht="20.100000000000001" customHeight="1" thickBot="1">
      <c r="B10" s="20" t="s">
        <v>25</v>
      </c>
      <c r="C10" s="14"/>
      <c r="D10" s="21"/>
      <c r="E10" s="14"/>
      <c r="F10" s="22"/>
      <c r="G10" s="14"/>
      <c r="H10" s="107"/>
      <c r="I10" s="16"/>
    </row>
    <row r="11" spans="1:9" ht="20.100000000000001" customHeight="1">
      <c r="B11" s="134">
        <v>0.4</v>
      </c>
      <c r="C11" s="129" t="s">
        <v>26</v>
      </c>
      <c r="D11" s="131" t="s">
        <v>53</v>
      </c>
      <c r="E11" s="23" t="s">
        <v>28</v>
      </c>
      <c r="F11" s="24" t="s">
        <v>29</v>
      </c>
      <c r="G11" s="12">
        <v>0.15</v>
      </c>
      <c r="H11" s="54">
        <f>E21*G11</f>
        <v>15000</v>
      </c>
      <c r="I11" s="16"/>
    </row>
    <row r="12" spans="1:9" ht="20.100000000000001" customHeight="1" thickBot="1">
      <c r="B12" s="134"/>
      <c r="C12" s="130"/>
      <c r="D12" s="132"/>
      <c r="E12" s="102" t="s">
        <v>30</v>
      </c>
      <c r="F12" s="103" t="s">
        <v>31</v>
      </c>
      <c r="G12" s="104">
        <v>0.25</v>
      </c>
      <c r="H12" s="105">
        <f>E21*G12</f>
        <v>25000</v>
      </c>
      <c r="I12" s="16"/>
    </row>
    <row r="13" spans="1:9" ht="20.100000000000001" customHeight="1" thickBot="1">
      <c r="B13" s="134"/>
      <c r="C13" s="39" t="s">
        <v>32</v>
      </c>
      <c r="D13" s="45" t="s">
        <v>54</v>
      </c>
      <c r="E13" s="41"/>
      <c r="F13" s="40"/>
      <c r="G13" s="42">
        <v>0</v>
      </c>
      <c r="H13" s="56">
        <f>E21*G13</f>
        <v>0</v>
      </c>
      <c r="I13" s="16"/>
    </row>
    <row r="14" spans="1:9" ht="20.100000000000001" customHeight="1" thickBot="1">
      <c r="B14" s="113"/>
      <c r="C14" s="25" t="s">
        <v>55</v>
      </c>
      <c r="D14" s="45" t="s">
        <v>54</v>
      </c>
      <c r="E14" s="117"/>
      <c r="F14" s="115"/>
      <c r="G14" s="29">
        <v>0</v>
      </c>
      <c r="H14" s="116">
        <f>E21*G14</f>
        <v>0</v>
      </c>
      <c r="I14" s="16"/>
    </row>
    <row r="15" spans="1:9" ht="20.100000000000001" customHeight="1" thickBot="1">
      <c r="B15" s="30" t="s">
        <v>34</v>
      </c>
      <c r="C15" s="15"/>
      <c r="D15" s="31"/>
      <c r="E15" s="15"/>
      <c r="F15" s="32"/>
      <c r="G15" s="15"/>
      <c r="H15" s="108"/>
      <c r="I15" s="16"/>
    </row>
    <row r="16" spans="1:9" ht="20.100000000000001" customHeight="1" thickBot="1">
      <c r="B16" s="133">
        <v>0.1</v>
      </c>
      <c r="C16" s="25" t="s">
        <v>35</v>
      </c>
      <c r="D16" s="26" t="s">
        <v>16</v>
      </c>
      <c r="E16" s="27"/>
      <c r="F16" s="28"/>
      <c r="G16" s="29">
        <v>0</v>
      </c>
      <c r="H16" s="58">
        <v>0</v>
      </c>
      <c r="I16" s="16"/>
    </row>
    <row r="17" spans="2:9" ht="20.100000000000001" customHeight="1" thickBot="1">
      <c r="B17" s="133"/>
      <c r="C17" s="46" t="s">
        <v>36</v>
      </c>
      <c r="D17" s="47" t="s">
        <v>16</v>
      </c>
      <c r="E17" s="33"/>
      <c r="F17" s="48"/>
      <c r="G17" s="49">
        <v>0</v>
      </c>
      <c r="H17" s="57">
        <v>0</v>
      </c>
      <c r="I17" s="16"/>
    </row>
    <row r="18" spans="2:9" ht="20.100000000000001" customHeight="1" thickBot="1">
      <c r="B18" s="133"/>
      <c r="C18" s="25" t="s">
        <v>37</v>
      </c>
      <c r="D18" s="26" t="s">
        <v>16</v>
      </c>
      <c r="E18" s="23" t="s">
        <v>38</v>
      </c>
      <c r="F18" s="103" t="s">
        <v>39</v>
      </c>
      <c r="G18" s="29">
        <v>0.1</v>
      </c>
      <c r="H18" s="58">
        <f>E23*G18</f>
        <v>0</v>
      </c>
      <c r="I18" s="16"/>
    </row>
    <row r="19" spans="2:9" ht="20.100000000000001" customHeight="1" thickBot="1">
      <c r="B19" s="122" t="s">
        <v>9</v>
      </c>
      <c r="C19" s="123"/>
      <c r="D19" s="34"/>
      <c r="E19" s="35"/>
      <c r="F19" s="34"/>
      <c r="G19" s="36">
        <f>SUM(G5:G18)</f>
        <v>0.99999999999999989</v>
      </c>
      <c r="H19" s="109">
        <f>SUM(H5:H18)</f>
        <v>90000</v>
      </c>
      <c r="I19" s="16"/>
    </row>
    <row r="20" spans="2:9" ht="20.100000000000001" customHeight="1">
      <c r="B20" s="16"/>
      <c r="C20" s="16"/>
      <c r="D20" s="16"/>
      <c r="E20" s="16"/>
      <c r="F20" s="16"/>
      <c r="G20" s="16"/>
      <c r="H20" s="16"/>
      <c r="I20" s="16"/>
    </row>
    <row r="21" spans="2:9" ht="20.100000000000001" customHeight="1">
      <c r="B21" s="16"/>
      <c r="C21" s="52" t="s">
        <v>10</v>
      </c>
      <c r="D21" s="16"/>
      <c r="E21" s="53">
        <v>100000</v>
      </c>
      <c r="F21" s="16"/>
      <c r="G21" s="16"/>
      <c r="H21" s="16"/>
      <c r="I21" s="16"/>
    </row>
    <row r="22" spans="2:9" ht="20.100000000000001" customHeight="1"/>
    <row r="23" spans="2:9" ht="20.100000000000001" customHeight="1"/>
    <row r="24" spans="2:9" ht="20.100000000000001" customHeight="1"/>
    <row r="25" spans="2:9" ht="20.100000000000001" customHeight="1"/>
    <row r="26" spans="2:9" ht="20.100000000000001" customHeight="1"/>
    <row r="27" spans="2:9" ht="20.100000000000001" customHeight="1"/>
    <row r="28" spans="2:9" ht="20.100000000000001" customHeight="1"/>
    <row r="29" spans="2:9" ht="20.100000000000001" customHeight="1"/>
    <row r="30" spans="2:9" ht="20.100000000000001" customHeight="1"/>
  </sheetData>
  <mergeCells count="8">
    <mergeCell ref="B16:B18"/>
    <mergeCell ref="B19:C19"/>
    <mergeCell ref="B1:H2"/>
    <mergeCell ref="B3:E3"/>
    <mergeCell ref="B5:B9"/>
    <mergeCell ref="B11:B13"/>
    <mergeCell ref="C11:C12"/>
    <mergeCell ref="D11:D12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"/>
  <sheetViews>
    <sheetView workbookViewId="0"/>
  </sheetViews>
  <sheetFormatPr defaultRowHeight="12.75"/>
  <cols>
    <col min="1" max="1" width="3" customWidth="1"/>
    <col min="3" max="3" width="33.28515625" customWidth="1"/>
    <col min="4" max="4" width="8.140625" customWidth="1"/>
    <col min="5" max="5" width="48.7109375" bestFit="1" customWidth="1"/>
    <col min="6" max="6" width="11.28515625" bestFit="1" customWidth="1"/>
    <col min="7" max="7" width="7.42578125" customWidth="1"/>
    <col min="8" max="8" width="10.42578125" customWidth="1"/>
  </cols>
  <sheetData>
    <row r="1" spans="1:9" ht="20.100000000000001" customHeight="1">
      <c r="A1" s="50"/>
      <c r="B1" s="124" t="s">
        <v>56</v>
      </c>
      <c r="C1" s="124"/>
      <c r="D1" s="124"/>
      <c r="E1" s="124"/>
      <c r="F1" s="124"/>
      <c r="G1" s="124"/>
      <c r="H1" s="124"/>
      <c r="I1" s="16"/>
    </row>
    <row r="2" spans="1:9" ht="7.5" customHeight="1" thickBot="1">
      <c r="B2" s="125"/>
      <c r="C2" s="125"/>
      <c r="D2" s="125"/>
      <c r="E2" s="125"/>
      <c r="F2" s="125"/>
      <c r="G2" s="125"/>
      <c r="H2" s="125"/>
      <c r="I2" s="16"/>
    </row>
    <row r="3" spans="1:9" ht="20.100000000000001" customHeight="1" thickBot="1">
      <c r="B3" s="126" t="s">
        <v>57</v>
      </c>
      <c r="C3" s="127"/>
      <c r="D3" s="127"/>
      <c r="E3" s="128"/>
      <c r="F3" s="43" t="s">
        <v>2</v>
      </c>
      <c r="G3" s="43" t="s">
        <v>3</v>
      </c>
      <c r="H3" s="17" t="s">
        <v>4</v>
      </c>
      <c r="I3" s="16"/>
    </row>
    <row r="4" spans="1:9" ht="20.100000000000001" customHeight="1" thickBot="1">
      <c r="B4" s="18" t="s">
        <v>5</v>
      </c>
      <c r="C4" s="13"/>
      <c r="D4" s="19"/>
      <c r="E4" s="13"/>
      <c r="F4" s="19"/>
      <c r="G4" s="13"/>
      <c r="H4" s="106"/>
      <c r="I4" s="16"/>
    </row>
    <row r="5" spans="1:9" ht="20.100000000000001" customHeight="1" thickBot="1">
      <c r="B5" s="135">
        <v>0.75</v>
      </c>
      <c r="C5" s="44" t="s">
        <v>6</v>
      </c>
      <c r="D5" s="45" t="s">
        <v>42</v>
      </c>
      <c r="E5" s="41"/>
      <c r="F5" s="40"/>
      <c r="G5" s="12">
        <v>0</v>
      </c>
      <c r="H5" s="56">
        <f>E14*G5</f>
        <v>0</v>
      </c>
      <c r="I5" s="16"/>
    </row>
    <row r="6" spans="1:9" ht="20.100000000000001" customHeight="1" thickBot="1">
      <c r="B6" s="135"/>
      <c r="C6" s="39" t="s">
        <v>17</v>
      </c>
      <c r="D6" s="45" t="s">
        <v>58</v>
      </c>
      <c r="E6" s="23" t="s">
        <v>19</v>
      </c>
      <c r="F6" s="24" t="s">
        <v>20</v>
      </c>
      <c r="G6" s="12">
        <v>0.5</v>
      </c>
      <c r="H6" s="54">
        <f>E14*G6</f>
        <v>50000</v>
      </c>
      <c r="I6" s="16"/>
    </row>
    <row r="7" spans="1:9" ht="20.100000000000001" customHeight="1" thickBot="1">
      <c r="B7" s="135"/>
      <c r="C7" s="111" t="s">
        <v>21</v>
      </c>
      <c r="D7" s="26" t="s">
        <v>22</v>
      </c>
      <c r="E7" s="112" t="s">
        <v>23</v>
      </c>
      <c r="F7" s="28" t="s">
        <v>24</v>
      </c>
      <c r="G7" s="29">
        <v>0.2</v>
      </c>
      <c r="H7" s="55">
        <f>E14*G7</f>
        <v>20000</v>
      </c>
      <c r="I7" s="16"/>
    </row>
    <row r="8" spans="1:9" ht="20.100000000000001" customHeight="1" thickBot="1">
      <c r="B8" s="135"/>
      <c r="C8" s="46" t="s">
        <v>47</v>
      </c>
      <c r="D8" s="47" t="s">
        <v>16</v>
      </c>
      <c r="E8" s="110" t="s">
        <v>48</v>
      </c>
      <c r="F8" s="48" t="s">
        <v>49</v>
      </c>
      <c r="G8" s="49">
        <v>0.05</v>
      </c>
      <c r="H8" s="55">
        <f>E14*G8</f>
        <v>5000</v>
      </c>
      <c r="I8" s="16"/>
    </row>
    <row r="9" spans="1:9" ht="20.100000000000001" customHeight="1" thickBot="1">
      <c r="B9" s="20" t="s">
        <v>25</v>
      </c>
      <c r="C9" s="14"/>
      <c r="D9" s="21"/>
      <c r="E9" s="14"/>
      <c r="F9" s="22"/>
      <c r="G9" s="14"/>
      <c r="H9" s="107"/>
      <c r="I9" s="16"/>
    </row>
    <row r="10" spans="1:9" ht="20.100000000000001" customHeight="1">
      <c r="B10" s="134">
        <v>0.25</v>
      </c>
      <c r="C10" s="129" t="s">
        <v>26</v>
      </c>
      <c r="D10" s="137">
        <v>0.25</v>
      </c>
      <c r="E10" s="23" t="s">
        <v>28</v>
      </c>
      <c r="F10" s="24" t="s">
        <v>29</v>
      </c>
      <c r="G10" s="12">
        <v>0.1</v>
      </c>
      <c r="H10" s="54">
        <f>E14*G10</f>
        <v>10000</v>
      </c>
      <c r="I10" s="16"/>
    </row>
    <row r="11" spans="1:9" ht="20.100000000000001" customHeight="1" thickBot="1">
      <c r="B11" s="134"/>
      <c r="C11" s="130"/>
      <c r="D11" s="132"/>
      <c r="E11" s="102" t="s">
        <v>30</v>
      </c>
      <c r="F11" s="103" t="s">
        <v>31</v>
      </c>
      <c r="G11" s="104">
        <v>0.15</v>
      </c>
      <c r="H11" s="105">
        <f>E14*G11</f>
        <v>15000</v>
      </c>
      <c r="I11" s="16"/>
    </row>
    <row r="12" spans="1:9" ht="20.100000000000001" customHeight="1" thickBot="1">
      <c r="B12" s="122" t="s">
        <v>9</v>
      </c>
      <c r="C12" s="123"/>
      <c r="D12" s="34"/>
      <c r="E12" s="35"/>
      <c r="F12" s="34"/>
      <c r="G12" s="36">
        <f>SUM(G5:G11)</f>
        <v>1</v>
      </c>
      <c r="H12" s="109">
        <f>SUM(H5:H11)</f>
        <v>100000</v>
      </c>
      <c r="I12" s="16"/>
    </row>
    <row r="13" spans="1:9" ht="20.100000000000001" customHeight="1">
      <c r="B13" s="16"/>
      <c r="C13" s="16"/>
      <c r="D13" s="16"/>
      <c r="E13" s="16"/>
      <c r="F13" s="16"/>
      <c r="G13" s="16"/>
      <c r="H13" s="16"/>
      <c r="I13" s="16"/>
    </row>
    <row r="14" spans="1:9" ht="20.100000000000001" customHeight="1">
      <c r="B14" s="16"/>
      <c r="C14" s="52" t="s">
        <v>10</v>
      </c>
      <c r="D14" s="16"/>
      <c r="E14" s="53">
        <v>100000</v>
      </c>
      <c r="F14" s="16"/>
      <c r="G14" s="16"/>
      <c r="H14" s="16"/>
      <c r="I14" s="16"/>
    </row>
    <row r="15" spans="1:9" ht="20.100000000000001" customHeight="1"/>
    <row r="16" spans="1:9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</sheetData>
  <mergeCells count="7">
    <mergeCell ref="B12:C12"/>
    <mergeCell ref="B1:H2"/>
    <mergeCell ref="B3:E3"/>
    <mergeCell ref="B5:B8"/>
    <mergeCell ref="B10:B11"/>
    <mergeCell ref="C10:C11"/>
    <mergeCell ref="D10:D11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31"/>
  <sheetViews>
    <sheetView workbookViewId="0"/>
  </sheetViews>
  <sheetFormatPr defaultRowHeight="12.75"/>
  <cols>
    <col min="1" max="1" width="3.140625" customWidth="1"/>
    <col min="3" max="3" width="32.85546875" customWidth="1"/>
    <col min="5" max="5" width="47.42578125" customWidth="1"/>
    <col min="6" max="6" width="11.28515625" bestFit="1" customWidth="1"/>
    <col min="7" max="7" width="8.5703125" customWidth="1"/>
    <col min="8" max="8" width="10.5703125" customWidth="1"/>
  </cols>
  <sheetData>
    <row r="1" spans="2:9" ht="15.75" customHeight="1">
      <c r="B1" s="124" t="s">
        <v>59</v>
      </c>
      <c r="C1" s="124"/>
      <c r="D1" s="124"/>
      <c r="E1" s="124"/>
      <c r="F1" s="124"/>
      <c r="G1" s="124"/>
      <c r="H1" s="124"/>
      <c r="I1" s="16"/>
    </row>
    <row r="2" spans="2:9" ht="12.75" customHeight="1" thickBot="1">
      <c r="B2" s="125"/>
      <c r="C2" s="125"/>
      <c r="D2" s="125"/>
      <c r="E2" s="125"/>
      <c r="F2" s="125"/>
      <c r="G2" s="125"/>
      <c r="H2" s="125"/>
      <c r="I2" s="16"/>
    </row>
    <row r="3" spans="2:9" ht="20.100000000000001" customHeight="1" thickBot="1">
      <c r="B3" s="126" t="s">
        <v>60</v>
      </c>
      <c r="C3" s="127"/>
      <c r="D3" s="127"/>
      <c r="E3" s="128"/>
      <c r="F3" s="43" t="s">
        <v>2</v>
      </c>
      <c r="G3" s="43" t="s">
        <v>3</v>
      </c>
      <c r="H3" s="17" t="s">
        <v>4</v>
      </c>
      <c r="I3" s="16"/>
    </row>
    <row r="4" spans="2:9" ht="20.100000000000001" customHeight="1" thickBot="1">
      <c r="B4" s="18" t="s">
        <v>5</v>
      </c>
      <c r="C4" s="13"/>
      <c r="D4" s="19"/>
      <c r="E4" s="13"/>
      <c r="F4" s="19"/>
      <c r="G4" s="13"/>
      <c r="H4" s="106"/>
      <c r="I4" s="16"/>
    </row>
    <row r="5" spans="2:9" ht="20.100000000000001" customHeight="1" thickBot="1">
      <c r="B5" s="135">
        <v>0.2</v>
      </c>
      <c r="C5" s="44" t="s">
        <v>6</v>
      </c>
      <c r="D5" s="45" t="s">
        <v>33</v>
      </c>
      <c r="E5" s="41"/>
      <c r="F5" s="40"/>
      <c r="G5" s="12">
        <v>0</v>
      </c>
      <c r="H5" s="56">
        <f>E21*G5</f>
        <v>0</v>
      </c>
      <c r="I5" s="16"/>
    </row>
    <row r="6" spans="2:9" ht="20.100000000000001" customHeight="1" thickBot="1">
      <c r="B6" s="135"/>
      <c r="C6" s="39" t="s">
        <v>17</v>
      </c>
      <c r="D6" s="45" t="s">
        <v>27</v>
      </c>
      <c r="E6" s="23" t="s">
        <v>19</v>
      </c>
      <c r="F6" s="24" t="s">
        <v>20</v>
      </c>
      <c r="G6" s="12">
        <v>0.05</v>
      </c>
      <c r="H6" s="54">
        <f>E21*G6</f>
        <v>5000</v>
      </c>
      <c r="I6" s="16"/>
    </row>
    <row r="7" spans="2:9" ht="20.100000000000001" customHeight="1" thickBot="1">
      <c r="B7" s="135"/>
      <c r="C7" s="111" t="s">
        <v>21</v>
      </c>
      <c r="D7" s="26" t="s">
        <v>16</v>
      </c>
      <c r="E7" s="112" t="s">
        <v>23</v>
      </c>
      <c r="F7" s="28" t="s">
        <v>24</v>
      </c>
      <c r="G7" s="29">
        <v>0.05</v>
      </c>
      <c r="H7" s="55">
        <f>E21*G7</f>
        <v>5000</v>
      </c>
      <c r="I7" s="16"/>
    </row>
    <row r="8" spans="2:9" ht="20.100000000000001" customHeight="1" thickBot="1">
      <c r="B8" s="135"/>
      <c r="C8" s="46" t="s">
        <v>47</v>
      </c>
      <c r="D8" s="47" t="s">
        <v>33</v>
      </c>
      <c r="E8" s="110" t="s">
        <v>48</v>
      </c>
      <c r="F8" s="48" t="s">
        <v>49</v>
      </c>
      <c r="G8" s="49">
        <v>0.05</v>
      </c>
      <c r="H8" s="55">
        <f>E21*G8</f>
        <v>5000</v>
      </c>
      <c r="I8" s="16"/>
    </row>
    <row r="9" spans="2:9" ht="20.100000000000001" customHeight="1" thickBot="1">
      <c r="B9" s="136"/>
      <c r="C9" s="44" t="s">
        <v>50</v>
      </c>
      <c r="D9" s="45" t="s">
        <v>33</v>
      </c>
      <c r="E9" s="37" t="s">
        <v>51</v>
      </c>
      <c r="F9" s="40" t="s">
        <v>52</v>
      </c>
      <c r="G9" s="42">
        <v>0.05</v>
      </c>
      <c r="H9" s="56">
        <f>E21*G9</f>
        <v>5000</v>
      </c>
      <c r="I9" s="16"/>
    </row>
    <row r="10" spans="2:9" ht="20.100000000000001" customHeight="1" thickBot="1">
      <c r="B10" s="20" t="s">
        <v>25</v>
      </c>
      <c r="C10" s="14"/>
      <c r="D10" s="21"/>
      <c r="E10" s="14"/>
      <c r="F10" s="22"/>
      <c r="G10" s="14"/>
      <c r="H10" s="107"/>
      <c r="I10" s="16"/>
    </row>
    <row r="11" spans="2:9" ht="20.100000000000001" customHeight="1">
      <c r="B11" s="134">
        <v>0.7</v>
      </c>
      <c r="C11" s="129" t="s">
        <v>26</v>
      </c>
      <c r="D11" s="131" t="s">
        <v>61</v>
      </c>
      <c r="E11" s="23" t="s">
        <v>28</v>
      </c>
      <c r="F11" s="24" t="s">
        <v>29</v>
      </c>
      <c r="G11" s="12">
        <v>0.3</v>
      </c>
      <c r="H11" s="54">
        <f>E21*G11</f>
        <v>30000</v>
      </c>
      <c r="I11" s="16"/>
    </row>
    <row r="12" spans="2:9" ht="20.100000000000001" customHeight="1" thickBot="1">
      <c r="B12" s="134"/>
      <c r="C12" s="130"/>
      <c r="D12" s="132"/>
      <c r="E12" s="102" t="s">
        <v>30</v>
      </c>
      <c r="F12" s="103" t="s">
        <v>31</v>
      </c>
      <c r="G12" s="104">
        <v>0.4</v>
      </c>
      <c r="H12" s="105">
        <f>E21*G12</f>
        <v>40000</v>
      </c>
      <c r="I12" s="16"/>
    </row>
    <row r="13" spans="2:9" ht="20.100000000000001" customHeight="1" thickBot="1">
      <c r="B13" s="134"/>
      <c r="C13" s="39" t="s">
        <v>32</v>
      </c>
      <c r="D13" s="45" t="s">
        <v>42</v>
      </c>
      <c r="E13" s="41"/>
      <c r="F13" s="40"/>
      <c r="G13" s="42">
        <v>0</v>
      </c>
      <c r="H13" s="56">
        <f>E21*G13</f>
        <v>0</v>
      </c>
      <c r="I13" s="16"/>
    </row>
    <row r="14" spans="2:9" ht="20.100000000000001" customHeight="1" thickBot="1">
      <c r="B14" s="113"/>
      <c r="C14" s="25" t="s">
        <v>55</v>
      </c>
      <c r="D14" s="114" t="s">
        <v>54</v>
      </c>
      <c r="E14" s="117"/>
      <c r="F14" s="115"/>
      <c r="G14" s="29">
        <v>0</v>
      </c>
      <c r="H14" s="116">
        <f>E21*G14</f>
        <v>0</v>
      </c>
      <c r="I14" s="16"/>
    </row>
    <row r="15" spans="2:9" ht="20.100000000000001" customHeight="1" thickBot="1">
      <c r="B15" s="30" t="s">
        <v>34</v>
      </c>
      <c r="C15" s="15"/>
      <c r="D15" s="31"/>
      <c r="E15" s="15"/>
      <c r="F15" s="32"/>
      <c r="G15" s="15"/>
      <c r="H15" s="108"/>
      <c r="I15" s="16"/>
    </row>
    <row r="16" spans="2:9" ht="20.100000000000001" customHeight="1" thickBot="1">
      <c r="B16" s="133">
        <v>0.1</v>
      </c>
      <c r="C16" s="25" t="s">
        <v>35</v>
      </c>
      <c r="D16" s="26" t="s">
        <v>16</v>
      </c>
      <c r="E16" s="27"/>
      <c r="F16" s="28"/>
      <c r="G16" s="29">
        <v>0</v>
      </c>
      <c r="H16" s="58">
        <v>0</v>
      </c>
      <c r="I16" s="16"/>
    </row>
    <row r="17" spans="2:9" ht="20.100000000000001" customHeight="1" thickBot="1">
      <c r="B17" s="133"/>
      <c r="C17" s="46" t="s">
        <v>36</v>
      </c>
      <c r="D17" s="47" t="s">
        <v>16</v>
      </c>
      <c r="E17" s="33"/>
      <c r="F17" s="48"/>
      <c r="G17" s="49">
        <v>0</v>
      </c>
      <c r="H17" s="57">
        <v>0</v>
      </c>
      <c r="I17" s="16"/>
    </row>
    <row r="18" spans="2:9" ht="20.100000000000001" customHeight="1" thickBot="1">
      <c r="B18" s="133"/>
      <c r="C18" s="25" t="s">
        <v>37</v>
      </c>
      <c r="D18" s="26" t="s">
        <v>16</v>
      </c>
      <c r="E18" s="23" t="s">
        <v>38</v>
      </c>
      <c r="F18" s="103" t="s">
        <v>39</v>
      </c>
      <c r="G18" s="29">
        <v>0.1</v>
      </c>
      <c r="H18" s="58">
        <f>E23*G18</f>
        <v>0</v>
      </c>
      <c r="I18" s="16"/>
    </row>
    <row r="19" spans="2:9" ht="20.100000000000001" customHeight="1" thickBot="1">
      <c r="B19" s="122" t="s">
        <v>9</v>
      </c>
      <c r="C19" s="123"/>
      <c r="D19" s="34"/>
      <c r="E19" s="35"/>
      <c r="F19" s="34"/>
      <c r="G19" s="36">
        <f>SUM(G5:G18)</f>
        <v>1</v>
      </c>
      <c r="H19" s="109">
        <f>SUM(H5:H18)</f>
        <v>90000</v>
      </c>
      <c r="I19" s="16"/>
    </row>
    <row r="20" spans="2:9" ht="15" customHeight="1">
      <c r="B20" s="16"/>
      <c r="C20" s="16"/>
      <c r="D20" s="16"/>
      <c r="E20" s="16"/>
      <c r="F20" s="16"/>
      <c r="G20" s="16"/>
      <c r="H20" s="16"/>
      <c r="I20" s="16"/>
    </row>
    <row r="21" spans="2:9" ht="20.100000000000001" customHeight="1">
      <c r="B21" s="16"/>
      <c r="C21" s="52" t="s">
        <v>10</v>
      </c>
      <c r="D21" s="16"/>
      <c r="E21" s="53">
        <v>100000</v>
      </c>
      <c r="F21" s="16"/>
      <c r="G21" s="16"/>
      <c r="H21" s="16"/>
      <c r="I21" s="16"/>
    </row>
    <row r="22" spans="2:9" ht="20.100000000000001" customHeight="1"/>
    <row r="23" spans="2:9" ht="20.100000000000001" customHeight="1"/>
    <row r="24" spans="2:9" ht="20.100000000000001" customHeight="1"/>
    <row r="25" spans="2:9" ht="20.100000000000001" customHeight="1"/>
    <row r="26" spans="2:9" ht="20.100000000000001" customHeight="1"/>
    <row r="27" spans="2:9" ht="20.100000000000001" customHeight="1"/>
    <row r="28" spans="2:9" ht="20.100000000000001" customHeight="1"/>
    <row r="29" spans="2:9" ht="20.100000000000001" customHeight="1"/>
    <row r="30" spans="2:9" ht="20.100000000000001" customHeight="1"/>
    <row r="31" spans="2:9" ht="20.100000000000001" customHeight="1"/>
  </sheetData>
  <mergeCells count="8">
    <mergeCell ref="B16:B18"/>
    <mergeCell ref="B19:C19"/>
    <mergeCell ref="B1:H2"/>
    <mergeCell ref="B3:E3"/>
    <mergeCell ref="B5:B9"/>
    <mergeCell ref="B11:B13"/>
    <mergeCell ref="C11:C12"/>
    <mergeCell ref="D11:D12"/>
  </mergeCells>
  <pageMargins left="0.7" right="0.7" top="0.78740157499999996" bottom="0.78740157499999996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3"/>
  <sheetViews>
    <sheetView workbookViewId="0"/>
  </sheetViews>
  <sheetFormatPr defaultRowHeight="12.75"/>
  <cols>
    <col min="1" max="1" width="3" customWidth="1"/>
    <col min="3" max="3" width="33.28515625" customWidth="1"/>
    <col min="4" max="4" width="8.140625" customWidth="1"/>
    <col min="5" max="5" width="48.7109375" bestFit="1" customWidth="1"/>
    <col min="6" max="6" width="11.28515625" bestFit="1" customWidth="1"/>
    <col min="7" max="7" width="7.42578125" customWidth="1"/>
    <col min="8" max="8" width="10.42578125" customWidth="1"/>
  </cols>
  <sheetData>
    <row r="1" spans="1:9" ht="20.100000000000001" customHeight="1">
      <c r="A1" s="50"/>
      <c r="B1" s="124" t="s">
        <v>59</v>
      </c>
      <c r="C1" s="124"/>
      <c r="D1" s="124"/>
      <c r="E1" s="124"/>
      <c r="F1" s="124"/>
      <c r="G1" s="124"/>
      <c r="H1" s="124"/>
      <c r="I1" s="16"/>
    </row>
    <row r="2" spans="1:9" ht="7.5" customHeight="1" thickBot="1">
      <c r="B2" s="125"/>
      <c r="C2" s="125"/>
      <c r="D2" s="125"/>
      <c r="E2" s="125"/>
      <c r="F2" s="125"/>
      <c r="G2" s="125"/>
      <c r="H2" s="125"/>
      <c r="I2" s="16"/>
    </row>
    <row r="3" spans="1:9" ht="20.100000000000001" customHeight="1" thickBot="1">
      <c r="B3" s="126" t="s">
        <v>62</v>
      </c>
      <c r="C3" s="127"/>
      <c r="D3" s="127"/>
      <c r="E3" s="128"/>
      <c r="F3" s="43" t="s">
        <v>2</v>
      </c>
      <c r="G3" s="43" t="s">
        <v>3</v>
      </c>
      <c r="H3" s="17" t="s">
        <v>4</v>
      </c>
      <c r="I3" s="16"/>
    </row>
    <row r="4" spans="1:9" ht="20.100000000000001" customHeight="1" thickBot="1">
      <c r="B4" s="18" t="s">
        <v>5</v>
      </c>
      <c r="C4" s="13"/>
      <c r="D4" s="19"/>
      <c r="E4" s="13"/>
      <c r="F4" s="19"/>
      <c r="G4" s="13"/>
      <c r="H4" s="106"/>
      <c r="I4" s="16"/>
    </row>
    <row r="5" spans="1:9" ht="20.100000000000001" customHeight="1" thickBot="1">
      <c r="B5" s="135">
        <v>0.6</v>
      </c>
      <c r="C5" s="44" t="s">
        <v>6</v>
      </c>
      <c r="D5" s="45" t="s">
        <v>42</v>
      </c>
      <c r="E5" s="41"/>
      <c r="F5" s="40"/>
      <c r="G5" s="12">
        <v>0</v>
      </c>
      <c r="H5" s="56">
        <f>E14*G5</f>
        <v>0</v>
      </c>
      <c r="I5" s="16"/>
    </row>
    <row r="6" spans="1:9" ht="20.100000000000001" customHeight="1" thickBot="1">
      <c r="B6" s="135"/>
      <c r="C6" s="39" t="s">
        <v>17</v>
      </c>
      <c r="D6" s="45" t="s">
        <v>63</v>
      </c>
      <c r="E6" s="23" t="s">
        <v>19</v>
      </c>
      <c r="F6" s="24" t="s">
        <v>20</v>
      </c>
      <c r="G6" s="12">
        <v>0.3</v>
      </c>
      <c r="H6" s="54">
        <f>E14*G6</f>
        <v>30000</v>
      </c>
      <c r="I6" s="16"/>
    </row>
    <row r="7" spans="1:9" ht="20.100000000000001" customHeight="1" thickBot="1">
      <c r="B7" s="135"/>
      <c r="C7" s="111" t="s">
        <v>21</v>
      </c>
      <c r="D7" s="26" t="s">
        <v>64</v>
      </c>
      <c r="E7" s="112" t="s">
        <v>23</v>
      </c>
      <c r="F7" s="28" t="s">
        <v>24</v>
      </c>
      <c r="G7" s="29">
        <v>0.2</v>
      </c>
      <c r="H7" s="55">
        <f>E14*G7</f>
        <v>20000</v>
      </c>
      <c r="I7" s="16"/>
    </row>
    <row r="8" spans="1:9" ht="20.100000000000001" customHeight="1" thickBot="1">
      <c r="B8" s="135"/>
      <c r="C8" s="46" t="s">
        <v>47</v>
      </c>
      <c r="D8" s="47" t="s">
        <v>16</v>
      </c>
      <c r="E8" s="110" t="s">
        <v>48</v>
      </c>
      <c r="F8" s="48" t="s">
        <v>49</v>
      </c>
      <c r="G8" s="49">
        <v>0.1</v>
      </c>
      <c r="H8" s="55">
        <f>E14*G8</f>
        <v>10000</v>
      </c>
      <c r="I8" s="16"/>
    </row>
    <row r="9" spans="1:9" ht="20.100000000000001" customHeight="1" thickBot="1">
      <c r="B9" s="20" t="s">
        <v>25</v>
      </c>
      <c r="C9" s="14"/>
      <c r="D9" s="21"/>
      <c r="E9" s="14"/>
      <c r="F9" s="22"/>
      <c r="G9" s="14"/>
      <c r="H9" s="107"/>
      <c r="I9" s="16"/>
    </row>
    <row r="10" spans="1:9" ht="20.100000000000001" customHeight="1">
      <c r="B10" s="134">
        <v>0.4</v>
      </c>
      <c r="C10" s="129" t="s">
        <v>26</v>
      </c>
      <c r="D10" s="137">
        <v>0.4</v>
      </c>
      <c r="E10" s="23" t="s">
        <v>28</v>
      </c>
      <c r="F10" s="24" t="s">
        <v>29</v>
      </c>
      <c r="G10" s="12">
        <v>0.15</v>
      </c>
      <c r="H10" s="54">
        <f>E14*G10</f>
        <v>15000</v>
      </c>
      <c r="I10" s="16"/>
    </row>
    <row r="11" spans="1:9" ht="20.100000000000001" customHeight="1" thickBot="1">
      <c r="B11" s="134"/>
      <c r="C11" s="130"/>
      <c r="D11" s="132"/>
      <c r="E11" s="102" t="s">
        <v>30</v>
      </c>
      <c r="F11" s="103" t="s">
        <v>31</v>
      </c>
      <c r="G11" s="104">
        <v>0.25</v>
      </c>
      <c r="H11" s="105">
        <f>E14*G11</f>
        <v>25000</v>
      </c>
      <c r="I11" s="16"/>
    </row>
    <row r="12" spans="1:9" ht="20.100000000000001" customHeight="1" thickBot="1">
      <c r="B12" s="122" t="s">
        <v>9</v>
      </c>
      <c r="C12" s="123"/>
      <c r="D12" s="34"/>
      <c r="E12" s="35"/>
      <c r="F12" s="34"/>
      <c r="G12" s="36">
        <f>SUM(G5:G11)</f>
        <v>1</v>
      </c>
      <c r="H12" s="109">
        <f>SUM(H5:H11)</f>
        <v>100000</v>
      </c>
      <c r="I12" s="16"/>
    </row>
    <row r="13" spans="1:9" ht="20.100000000000001" customHeight="1">
      <c r="B13" s="16"/>
      <c r="C13" s="16"/>
      <c r="D13" s="16"/>
      <c r="E13" s="16"/>
      <c r="F13" s="16"/>
      <c r="G13" s="16"/>
      <c r="H13" s="16"/>
      <c r="I13" s="16"/>
    </row>
    <row r="14" spans="1:9" ht="20.100000000000001" customHeight="1">
      <c r="B14" s="16"/>
      <c r="C14" s="52" t="s">
        <v>10</v>
      </c>
      <c r="D14" s="16"/>
      <c r="E14" s="53">
        <v>100000</v>
      </c>
      <c r="F14" s="16"/>
      <c r="G14" s="16"/>
      <c r="H14" s="16"/>
      <c r="I14" s="16"/>
    </row>
    <row r="15" spans="1:9" ht="20.100000000000001" customHeight="1"/>
    <row r="16" spans="1:9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</sheetData>
  <mergeCells count="7">
    <mergeCell ref="B12:C12"/>
    <mergeCell ref="B1:H2"/>
    <mergeCell ref="B3:E3"/>
    <mergeCell ref="B5:B8"/>
    <mergeCell ref="B10:B11"/>
    <mergeCell ref="C10:C11"/>
    <mergeCell ref="D10:D11"/>
  </mergeCells>
  <pageMargins left="0.7" right="0.7" top="0.75" bottom="0.75" header="0.3" footer="0.3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K20"/>
  <sheetViews>
    <sheetView workbookViewId="0"/>
  </sheetViews>
  <sheetFormatPr defaultColWidth="9.140625" defaultRowHeight="15.75"/>
  <cols>
    <col min="1" max="3" width="9.140625" style="2"/>
    <col min="4" max="4" width="28" style="2" customWidth="1"/>
    <col min="5" max="5" width="14.140625" style="2" customWidth="1"/>
    <col min="6" max="6" width="7.85546875" style="2" customWidth="1"/>
    <col min="7" max="8" width="9.140625" style="2"/>
    <col min="9" max="9" width="24.28515625" style="2" customWidth="1"/>
    <col min="10" max="10" width="13.42578125" style="2" customWidth="1"/>
    <col min="11" max="11" width="15.42578125" style="2" customWidth="1"/>
    <col min="12" max="16384" width="9.140625" style="2"/>
  </cols>
  <sheetData>
    <row r="2" spans="1:11" ht="16.5" thickBot="1">
      <c r="A2" s="138" t="s">
        <v>65</v>
      </c>
      <c r="B2" s="138"/>
      <c r="C2" s="138"/>
      <c r="D2" s="138"/>
      <c r="E2" s="138"/>
      <c r="G2" s="138" t="s">
        <v>65</v>
      </c>
      <c r="H2" s="138"/>
      <c r="I2" s="138"/>
      <c r="J2" s="138"/>
      <c r="K2" s="138"/>
    </row>
    <row r="3" spans="1:11" ht="31.5" customHeight="1">
      <c r="A3" s="148" t="s">
        <v>66</v>
      </c>
      <c r="B3" s="149"/>
      <c r="C3" s="149"/>
      <c r="D3" s="149"/>
      <c r="E3" s="1" t="s">
        <v>67</v>
      </c>
      <c r="G3" s="148" t="s">
        <v>66</v>
      </c>
      <c r="H3" s="149"/>
      <c r="I3" s="149"/>
      <c r="J3" s="149"/>
      <c r="K3" s="1" t="s">
        <v>68</v>
      </c>
    </row>
    <row r="4" spans="1:11">
      <c r="A4" s="150" t="s">
        <v>19</v>
      </c>
      <c r="B4" s="151"/>
      <c r="C4" s="151"/>
      <c r="D4" s="151"/>
      <c r="E4" s="3">
        <v>0.7</v>
      </c>
      <c r="G4" s="150" t="s">
        <v>19</v>
      </c>
      <c r="H4" s="151"/>
      <c r="I4" s="151"/>
      <c r="J4" s="151"/>
      <c r="K4" s="3">
        <v>0.85</v>
      </c>
    </row>
    <row r="5" spans="1:11">
      <c r="A5" s="150" t="s">
        <v>30</v>
      </c>
      <c r="B5" s="151"/>
      <c r="C5" s="151"/>
      <c r="D5" s="151"/>
      <c r="E5" s="3">
        <v>0.15</v>
      </c>
      <c r="G5" s="150" t="s">
        <v>30</v>
      </c>
      <c r="H5" s="151"/>
      <c r="I5" s="151"/>
      <c r="J5" s="151"/>
      <c r="K5" s="3">
        <v>0.1</v>
      </c>
    </row>
    <row r="6" spans="1:11" ht="16.5" thickBot="1">
      <c r="A6" s="152" t="s">
        <v>38</v>
      </c>
      <c r="B6" s="153"/>
      <c r="C6" s="153"/>
      <c r="D6" s="153"/>
      <c r="E6" s="4">
        <v>0.15</v>
      </c>
      <c r="G6" s="152" t="s">
        <v>38</v>
      </c>
      <c r="H6" s="153"/>
      <c r="I6" s="153"/>
      <c r="J6" s="153"/>
      <c r="K6" s="4">
        <v>0.05</v>
      </c>
    </row>
    <row r="7" spans="1:11">
      <c r="E7" s="5"/>
      <c r="K7" s="5"/>
    </row>
    <row r="8" spans="1:11" ht="16.5" thickBot="1">
      <c r="A8" s="138" t="s">
        <v>69</v>
      </c>
      <c r="B8" s="138"/>
      <c r="C8" s="138"/>
      <c r="D8" s="138"/>
      <c r="E8" s="138"/>
      <c r="G8" s="138" t="s">
        <v>69</v>
      </c>
      <c r="H8" s="138"/>
      <c r="I8" s="138"/>
      <c r="J8" s="138"/>
      <c r="K8" s="138"/>
    </row>
    <row r="9" spans="1:11" ht="31.5" customHeight="1" thickBot="1">
      <c r="A9" s="146" t="s">
        <v>66</v>
      </c>
      <c r="B9" s="147"/>
      <c r="C9" s="147"/>
      <c r="D9" s="147"/>
      <c r="E9" s="6" t="s">
        <v>67</v>
      </c>
      <c r="G9" s="148" t="s">
        <v>66</v>
      </c>
      <c r="H9" s="149"/>
      <c r="I9" s="149"/>
      <c r="J9" s="149"/>
      <c r="K9" s="1" t="s">
        <v>68</v>
      </c>
    </row>
    <row r="10" spans="1:11" ht="16.5" thickBot="1">
      <c r="A10" s="139" t="s">
        <v>19</v>
      </c>
      <c r="B10" s="140"/>
      <c r="C10" s="140"/>
      <c r="D10" s="140"/>
      <c r="E10" s="7">
        <v>0.5</v>
      </c>
      <c r="G10" s="150" t="s">
        <v>19</v>
      </c>
      <c r="H10" s="151"/>
      <c r="I10" s="151"/>
      <c r="J10" s="151"/>
      <c r="K10" s="3">
        <v>0.7</v>
      </c>
    </row>
    <row r="11" spans="1:11">
      <c r="A11" s="141" t="s">
        <v>30</v>
      </c>
      <c r="B11" s="142"/>
      <c r="C11" s="142"/>
      <c r="D11" s="142"/>
      <c r="E11" s="8">
        <v>0.25</v>
      </c>
      <c r="G11" s="150" t="s">
        <v>30</v>
      </c>
      <c r="H11" s="151"/>
      <c r="I11" s="151"/>
      <c r="J11" s="151"/>
      <c r="K11" s="3">
        <v>0.2</v>
      </c>
    </row>
    <row r="12" spans="1:11" ht="16.5" thickBot="1">
      <c r="A12" s="143" t="s">
        <v>28</v>
      </c>
      <c r="B12" s="144"/>
      <c r="C12" s="144"/>
      <c r="D12" s="145"/>
      <c r="E12" s="4">
        <v>0.1</v>
      </c>
      <c r="G12" s="152" t="s">
        <v>38</v>
      </c>
      <c r="H12" s="153"/>
      <c r="I12" s="153"/>
      <c r="J12" s="153"/>
      <c r="K12" s="4">
        <v>0.1</v>
      </c>
    </row>
    <row r="13" spans="1:11" ht="16.5" thickBot="1">
      <c r="A13" s="154" t="s">
        <v>38</v>
      </c>
      <c r="B13" s="155"/>
      <c r="C13" s="155"/>
      <c r="D13" s="155"/>
      <c r="E13" s="9">
        <v>0.15</v>
      </c>
      <c r="K13" s="5"/>
    </row>
    <row r="14" spans="1:11">
      <c r="A14" s="10"/>
      <c r="B14" s="10"/>
      <c r="C14" s="10"/>
      <c r="D14" s="10"/>
      <c r="E14" s="11"/>
      <c r="K14" s="5"/>
    </row>
    <row r="15" spans="1:11" ht="33.75" customHeight="1" thickBot="1">
      <c r="A15" s="138" t="s">
        <v>70</v>
      </c>
      <c r="B15" s="138"/>
      <c r="C15" s="138"/>
      <c r="D15" s="138"/>
      <c r="E15" s="138"/>
      <c r="G15" s="138" t="s">
        <v>70</v>
      </c>
      <c r="H15" s="138"/>
      <c r="I15" s="138"/>
      <c r="J15" s="138"/>
      <c r="K15" s="138"/>
    </row>
    <row r="16" spans="1:11" ht="16.5" thickBot="1">
      <c r="A16" s="146" t="s">
        <v>66</v>
      </c>
      <c r="B16" s="147"/>
      <c r="C16" s="147"/>
      <c r="D16" s="147"/>
      <c r="E16" s="6" t="s">
        <v>67</v>
      </c>
      <c r="G16" s="148" t="s">
        <v>66</v>
      </c>
      <c r="H16" s="149"/>
      <c r="I16" s="149"/>
      <c r="J16" s="149"/>
      <c r="K16" s="1" t="s">
        <v>68</v>
      </c>
    </row>
    <row r="17" spans="1:11" ht="16.5" thickBot="1">
      <c r="A17" s="139" t="s">
        <v>19</v>
      </c>
      <c r="B17" s="140"/>
      <c r="C17" s="140"/>
      <c r="D17" s="140"/>
      <c r="E17" s="7">
        <v>0.2</v>
      </c>
      <c r="G17" s="150" t="s">
        <v>19</v>
      </c>
      <c r="H17" s="151"/>
      <c r="I17" s="151"/>
      <c r="J17" s="151"/>
      <c r="K17" s="3">
        <v>0.5</v>
      </c>
    </row>
    <row r="18" spans="1:11">
      <c r="A18" s="141" t="s">
        <v>30</v>
      </c>
      <c r="B18" s="142"/>
      <c r="C18" s="142"/>
      <c r="D18" s="142"/>
      <c r="E18" s="8">
        <v>0.45</v>
      </c>
      <c r="G18" s="150" t="s">
        <v>30</v>
      </c>
      <c r="H18" s="151"/>
      <c r="I18" s="151"/>
      <c r="J18" s="151"/>
      <c r="K18" s="3">
        <v>0.35</v>
      </c>
    </row>
    <row r="19" spans="1:11" ht="16.5" thickBot="1">
      <c r="A19" s="143" t="s">
        <v>28</v>
      </c>
      <c r="B19" s="144"/>
      <c r="C19" s="144"/>
      <c r="D19" s="145"/>
      <c r="E19" s="4">
        <v>0.2</v>
      </c>
      <c r="G19" s="152" t="s">
        <v>38</v>
      </c>
      <c r="H19" s="153"/>
      <c r="I19" s="153"/>
      <c r="J19" s="153"/>
      <c r="K19" s="4">
        <v>0.15</v>
      </c>
    </row>
    <row r="20" spans="1:11" ht="16.5" thickBot="1">
      <c r="A20" s="154" t="s">
        <v>38</v>
      </c>
      <c r="B20" s="155"/>
      <c r="C20" s="155"/>
      <c r="D20" s="155"/>
      <c r="E20" s="9">
        <v>0.15</v>
      </c>
      <c r="G20" s="156"/>
      <c r="H20" s="156"/>
      <c r="I20" s="156"/>
      <c r="J20" s="156"/>
      <c r="K20" s="11"/>
    </row>
  </sheetData>
  <mergeCells count="33">
    <mergeCell ref="G18:J18"/>
    <mergeCell ref="A19:D19"/>
    <mergeCell ref="G19:J19"/>
    <mergeCell ref="A20:D20"/>
    <mergeCell ref="G20:J20"/>
    <mergeCell ref="G10:J10"/>
    <mergeCell ref="G11:J11"/>
    <mergeCell ref="G17:J17"/>
    <mergeCell ref="G9:J9"/>
    <mergeCell ref="G2:K2"/>
    <mergeCell ref="G3:J3"/>
    <mergeCell ref="G4:J4"/>
    <mergeCell ref="G5:J5"/>
    <mergeCell ref="G6:J6"/>
    <mergeCell ref="G8:K8"/>
    <mergeCell ref="G12:J12"/>
    <mergeCell ref="G15:K15"/>
    <mergeCell ref="G16:J16"/>
    <mergeCell ref="A2:E2"/>
    <mergeCell ref="A17:D17"/>
    <mergeCell ref="A18:D18"/>
    <mergeCell ref="A8:E8"/>
    <mergeCell ref="A12:D12"/>
    <mergeCell ref="A16:D16"/>
    <mergeCell ref="A9:D9"/>
    <mergeCell ref="A10:D10"/>
    <mergeCell ref="A11:D11"/>
    <mergeCell ref="A3:D3"/>
    <mergeCell ref="A4:D4"/>
    <mergeCell ref="A5:D5"/>
    <mergeCell ref="A6:D6"/>
    <mergeCell ref="A13:D13"/>
    <mergeCell ref="A15:E15"/>
  </mergeCells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9"/>
  <sheetViews>
    <sheetView tabSelected="1" topLeftCell="A44" workbookViewId="0">
      <selection activeCell="B53" sqref="B53"/>
    </sheetView>
  </sheetViews>
  <sheetFormatPr defaultColWidth="9.140625" defaultRowHeight="15"/>
  <cols>
    <col min="1" max="1" width="44.7109375" style="51" bestFit="1" customWidth="1"/>
    <col min="2" max="2" width="72.85546875" style="51" bestFit="1" customWidth="1"/>
    <col min="3" max="3" width="13.42578125" style="51" bestFit="1" customWidth="1"/>
    <col min="4" max="4" width="13.140625" style="51" bestFit="1" customWidth="1"/>
    <col min="5" max="16384" width="9.140625" style="51"/>
  </cols>
  <sheetData>
    <row r="1" spans="1:3" ht="21.75" customHeight="1" thickBot="1">
      <c r="A1" s="124" t="s">
        <v>71</v>
      </c>
      <c r="B1" s="124"/>
      <c r="C1" s="124"/>
    </row>
    <row r="2" spans="1:3" ht="15.75" thickBot="1">
      <c r="A2" s="83" t="s">
        <v>72</v>
      </c>
      <c r="B2" s="84" t="s">
        <v>73</v>
      </c>
      <c r="C2" s="85" t="s">
        <v>2</v>
      </c>
    </row>
    <row r="3" spans="1:3" ht="15.75" thickBot="1">
      <c r="A3" s="65" t="s">
        <v>6</v>
      </c>
      <c r="B3" s="66" t="s">
        <v>74</v>
      </c>
      <c r="C3" s="67" t="s">
        <v>75</v>
      </c>
    </row>
    <row r="4" spans="1:3">
      <c r="A4" s="157" t="s">
        <v>17</v>
      </c>
      <c r="B4" s="63" t="s">
        <v>76</v>
      </c>
      <c r="C4" s="64" t="s">
        <v>77</v>
      </c>
    </row>
    <row r="5" spans="1:3" ht="15.75" thickBot="1">
      <c r="A5" s="158"/>
      <c r="B5" s="70" t="s">
        <v>78</v>
      </c>
      <c r="C5" s="71" t="s">
        <v>79</v>
      </c>
    </row>
    <row r="6" spans="1:3">
      <c r="A6" s="163" t="s">
        <v>21</v>
      </c>
      <c r="B6" s="119" t="s">
        <v>80</v>
      </c>
      <c r="C6" s="67" t="s">
        <v>81</v>
      </c>
    </row>
    <row r="7" spans="1:3" ht="15.75" thickBot="1">
      <c r="A7" s="164"/>
      <c r="B7" s="118" t="s">
        <v>82</v>
      </c>
      <c r="C7" s="78" t="s">
        <v>83</v>
      </c>
    </row>
    <row r="8" spans="1:3">
      <c r="A8" s="157" t="s">
        <v>26</v>
      </c>
      <c r="B8" s="63" t="s">
        <v>84</v>
      </c>
      <c r="C8" s="64" t="s">
        <v>85</v>
      </c>
    </row>
    <row r="9" spans="1:3">
      <c r="A9" s="159"/>
      <c r="B9" s="79" t="s">
        <v>86</v>
      </c>
      <c r="C9" s="80" t="s">
        <v>87</v>
      </c>
    </row>
    <row r="10" spans="1:3">
      <c r="A10" s="159"/>
      <c r="B10" s="79" t="s">
        <v>88</v>
      </c>
      <c r="C10" s="80" t="s">
        <v>89</v>
      </c>
    </row>
    <row r="11" spans="1:3">
      <c r="A11" s="159"/>
      <c r="B11" s="79" t="s">
        <v>90</v>
      </c>
      <c r="C11" s="80" t="s">
        <v>91</v>
      </c>
    </row>
    <row r="12" spans="1:3" ht="15.75" thickBot="1">
      <c r="A12" s="158"/>
      <c r="B12" s="81" t="s">
        <v>92</v>
      </c>
      <c r="C12" s="82" t="s">
        <v>93</v>
      </c>
    </row>
    <row r="13" spans="1:3">
      <c r="A13" s="160" t="s">
        <v>32</v>
      </c>
      <c r="B13" s="72" t="s">
        <v>94</v>
      </c>
      <c r="C13" s="73" t="s">
        <v>95</v>
      </c>
    </row>
    <row r="14" spans="1:3">
      <c r="A14" s="161"/>
      <c r="B14" s="74" t="s">
        <v>96</v>
      </c>
      <c r="C14" s="75" t="s">
        <v>97</v>
      </c>
    </row>
    <row r="15" spans="1:3" ht="15.75" thickBot="1">
      <c r="A15" s="162"/>
      <c r="B15" s="72" t="s">
        <v>98</v>
      </c>
      <c r="C15" s="76" t="s">
        <v>99</v>
      </c>
    </row>
    <row r="16" spans="1:3" ht="15.75" thickBot="1">
      <c r="A16" s="61" t="s">
        <v>35</v>
      </c>
      <c r="B16" s="60"/>
      <c r="C16" s="59"/>
    </row>
    <row r="17" spans="1:3" ht="15.75" thickBot="1">
      <c r="A17" s="65" t="s">
        <v>36</v>
      </c>
      <c r="B17" s="77" t="s">
        <v>38</v>
      </c>
      <c r="C17" s="76" t="s">
        <v>39</v>
      </c>
    </row>
    <row r="20" spans="1:3" ht="19.5" thickBot="1">
      <c r="A20" s="124" t="s">
        <v>100</v>
      </c>
      <c r="B20" s="124"/>
      <c r="C20" s="124"/>
    </row>
    <row r="21" spans="1:3" ht="15.75" thickBot="1">
      <c r="A21" s="83" t="s">
        <v>72</v>
      </c>
      <c r="B21" s="84" t="s">
        <v>101</v>
      </c>
      <c r="C21" s="85" t="s">
        <v>2</v>
      </c>
    </row>
    <row r="22" spans="1:3" ht="15.75" thickBot="1">
      <c r="A22" s="65" t="s">
        <v>6</v>
      </c>
      <c r="B22" s="66" t="s">
        <v>74</v>
      </c>
      <c r="C22" s="67" t="s">
        <v>75</v>
      </c>
    </row>
    <row r="23" spans="1:3">
      <c r="A23" s="157" t="s">
        <v>17</v>
      </c>
      <c r="B23" s="63" t="s">
        <v>76</v>
      </c>
      <c r="C23" s="64" t="s">
        <v>77</v>
      </c>
    </row>
    <row r="24" spans="1:3" ht="15.75" thickBot="1">
      <c r="A24" s="158"/>
      <c r="B24" s="70" t="s">
        <v>78</v>
      </c>
      <c r="C24" s="71" t="s">
        <v>79</v>
      </c>
    </row>
    <row r="25" spans="1:3">
      <c r="A25" s="163" t="s">
        <v>21</v>
      </c>
      <c r="B25" s="119" t="s">
        <v>80</v>
      </c>
      <c r="C25" s="67" t="s">
        <v>81</v>
      </c>
    </row>
    <row r="26" spans="1:3" ht="15.75" thickBot="1">
      <c r="A26" s="164"/>
      <c r="B26" s="118" t="s">
        <v>82</v>
      </c>
      <c r="C26" s="78" t="s">
        <v>83</v>
      </c>
    </row>
    <row r="27" spans="1:3">
      <c r="A27" s="165" t="s">
        <v>47</v>
      </c>
      <c r="B27" s="90" t="s">
        <v>102</v>
      </c>
      <c r="C27" s="93" t="s">
        <v>103</v>
      </c>
    </row>
    <row r="28" spans="1:3">
      <c r="A28" s="166"/>
      <c r="B28" s="91" t="s">
        <v>104</v>
      </c>
      <c r="C28" s="94" t="s">
        <v>105</v>
      </c>
    </row>
    <row r="29" spans="1:3" ht="15.75" thickBot="1">
      <c r="A29" s="167"/>
      <c r="B29" s="92" t="s">
        <v>106</v>
      </c>
      <c r="C29" s="95" t="s">
        <v>107</v>
      </c>
    </row>
    <row r="30" spans="1:3">
      <c r="A30" s="163" t="s">
        <v>50</v>
      </c>
      <c r="B30" s="96" t="s">
        <v>108</v>
      </c>
      <c r="C30" s="97" t="s">
        <v>109</v>
      </c>
    </row>
    <row r="31" spans="1:3">
      <c r="A31" s="168"/>
      <c r="B31" s="98" t="s">
        <v>110</v>
      </c>
      <c r="C31" s="99" t="s">
        <v>111</v>
      </c>
    </row>
    <row r="32" spans="1:3" ht="15.75" thickBot="1">
      <c r="A32" s="164"/>
      <c r="B32" s="100" t="s">
        <v>112</v>
      </c>
      <c r="C32" s="101" t="s">
        <v>113</v>
      </c>
    </row>
    <row r="33" spans="1:3">
      <c r="A33" s="169" t="s">
        <v>26</v>
      </c>
      <c r="B33" s="68" t="s">
        <v>84</v>
      </c>
      <c r="C33" s="69" t="s">
        <v>85</v>
      </c>
    </row>
    <row r="34" spans="1:3">
      <c r="A34" s="159"/>
      <c r="B34" s="79" t="s">
        <v>86</v>
      </c>
      <c r="C34" s="80" t="s">
        <v>87</v>
      </c>
    </row>
    <row r="35" spans="1:3">
      <c r="A35" s="159"/>
      <c r="B35" s="79" t="s">
        <v>88</v>
      </c>
      <c r="C35" s="80" t="s">
        <v>91</v>
      </c>
    </row>
    <row r="36" spans="1:3">
      <c r="A36" s="159"/>
      <c r="B36" s="79" t="s">
        <v>90</v>
      </c>
      <c r="C36" s="80" t="s">
        <v>91</v>
      </c>
    </row>
    <row r="37" spans="1:3" ht="15.75" thickBot="1">
      <c r="A37" s="158"/>
      <c r="B37" s="81" t="s">
        <v>92</v>
      </c>
      <c r="C37" s="82" t="s">
        <v>93</v>
      </c>
    </row>
    <row r="38" spans="1:3">
      <c r="A38" s="160" t="s">
        <v>32</v>
      </c>
      <c r="B38" s="72" t="s">
        <v>94</v>
      </c>
      <c r="C38" s="73" t="s">
        <v>95</v>
      </c>
    </row>
    <row r="39" spans="1:3">
      <c r="A39" s="161"/>
      <c r="B39" s="74" t="s">
        <v>96</v>
      </c>
      <c r="C39" s="75" t="s">
        <v>97</v>
      </c>
    </row>
    <row r="40" spans="1:3" ht="15.75" thickBot="1">
      <c r="A40" s="162"/>
      <c r="B40" s="72" t="s">
        <v>98</v>
      </c>
      <c r="C40" s="75" t="s">
        <v>99</v>
      </c>
    </row>
    <row r="41" spans="1:3" ht="15.75" thickBot="1">
      <c r="A41" s="62" t="s">
        <v>55</v>
      </c>
      <c r="B41" s="88"/>
      <c r="C41" s="89"/>
    </row>
    <row r="42" spans="1:3" ht="15.75" thickBot="1">
      <c r="A42" s="65" t="s">
        <v>35</v>
      </c>
      <c r="B42" s="86"/>
      <c r="C42" s="87"/>
    </row>
    <row r="43" spans="1:3" ht="15.75" thickBot="1">
      <c r="A43" s="62" t="s">
        <v>36</v>
      </c>
      <c r="B43" s="77" t="s">
        <v>38</v>
      </c>
      <c r="C43" s="76" t="s">
        <v>39</v>
      </c>
    </row>
    <row r="46" spans="1:3" ht="19.5" thickBot="1">
      <c r="A46" s="124" t="s">
        <v>114</v>
      </c>
      <c r="B46" s="124"/>
      <c r="C46" s="124"/>
    </row>
    <row r="47" spans="1:3" ht="15.75" thickBot="1">
      <c r="A47" s="83" t="s">
        <v>72</v>
      </c>
      <c r="B47" s="84" t="s">
        <v>115</v>
      </c>
      <c r="C47" s="85" t="s">
        <v>2</v>
      </c>
    </row>
    <row r="48" spans="1:3" ht="15.75" thickBot="1">
      <c r="A48" s="65" t="s">
        <v>6</v>
      </c>
      <c r="B48" s="66" t="s">
        <v>74</v>
      </c>
      <c r="C48" s="67" t="s">
        <v>75</v>
      </c>
    </row>
    <row r="49" spans="1:3">
      <c r="A49" s="157" t="s">
        <v>17</v>
      </c>
      <c r="B49" s="63" t="s">
        <v>76</v>
      </c>
      <c r="C49" s="64" t="s">
        <v>77</v>
      </c>
    </row>
    <row r="50" spans="1:3" ht="15.75" thickBot="1">
      <c r="A50" s="158"/>
      <c r="B50" s="70" t="s">
        <v>78</v>
      </c>
      <c r="C50" s="71" t="s">
        <v>79</v>
      </c>
    </row>
    <row r="51" spans="1:3">
      <c r="A51" s="163" t="s">
        <v>21</v>
      </c>
      <c r="B51" s="119" t="s">
        <v>80</v>
      </c>
      <c r="C51" s="67"/>
    </row>
    <row r="52" spans="1:3" ht="15.75" thickBot="1">
      <c r="A52" s="164"/>
      <c r="B52" s="118" t="s">
        <v>82</v>
      </c>
      <c r="C52" s="78" t="s">
        <v>83</v>
      </c>
    </row>
    <row r="53" spans="1:3">
      <c r="A53" s="165" t="s">
        <v>47</v>
      </c>
      <c r="B53" s="90" t="s">
        <v>102</v>
      </c>
      <c r="C53" s="93" t="s">
        <v>103</v>
      </c>
    </row>
    <row r="54" spans="1:3">
      <c r="A54" s="166"/>
      <c r="B54" s="91" t="s">
        <v>104</v>
      </c>
      <c r="C54" s="94" t="s">
        <v>105</v>
      </c>
    </row>
    <row r="55" spans="1:3" ht="15.75" thickBot="1">
      <c r="A55" s="167"/>
      <c r="B55" s="92" t="s">
        <v>106</v>
      </c>
      <c r="C55" s="95" t="s">
        <v>107</v>
      </c>
    </row>
    <row r="56" spans="1:3">
      <c r="A56" s="163" t="s">
        <v>50</v>
      </c>
      <c r="B56" s="96" t="s">
        <v>108</v>
      </c>
      <c r="C56" s="97" t="s">
        <v>109</v>
      </c>
    </row>
    <row r="57" spans="1:3">
      <c r="A57" s="168"/>
      <c r="B57" s="98" t="s">
        <v>110</v>
      </c>
      <c r="C57" s="99" t="s">
        <v>111</v>
      </c>
    </row>
    <row r="58" spans="1:3" ht="15.75" thickBot="1">
      <c r="A58" s="164"/>
      <c r="B58" s="100" t="s">
        <v>112</v>
      </c>
      <c r="C58" s="101" t="s">
        <v>113</v>
      </c>
    </row>
    <row r="59" spans="1:3">
      <c r="A59" s="169" t="s">
        <v>26</v>
      </c>
      <c r="B59" s="68" t="s">
        <v>84</v>
      </c>
      <c r="C59" s="69" t="s">
        <v>85</v>
      </c>
    </row>
    <row r="60" spans="1:3">
      <c r="A60" s="159"/>
      <c r="B60" s="79" t="s">
        <v>86</v>
      </c>
      <c r="C60" s="80" t="s">
        <v>87</v>
      </c>
    </row>
    <row r="61" spans="1:3">
      <c r="A61" s="159"/>
      <c r="B61" s="79" t="s">
        <v>88</v>
      </c>
      <c r="C61" s="80" t="s">
        <v>89</v>
      </c>
    </row>
    <row r="62" spans="1:3">
      <c r="A62" s="159"/>
      <c r="B62" s="79" t="s">
        <v>90</v>
      </c>
      <c r="C62" s="80" t="s">
        <v>91</v>
      </c>
    </row>
    <row r="63" spans="1:3" ht="15.75" thickBot="1">
      <c r="A63" s="158"/>
      <c r="B63" s="81" t="s">
        <v>92</v>
      </c>
      <c r="C63" s="82" t="s">
        <v>93</v>
      </c>
    </row>
    <row r="64" spans="1:3">
      <c r="A64" s="160" t="s">
        <v>32</v>
      </c>
      <c r="B64" s="72" t="s">
        <v>94</v>
      </c>
      <c r="C64" s="73" t="s">
        <v>95</v>
      </c>
    </row>
    <row r="65" spans="1:3">
      <c r="A65" s="161"/>
      <c r="B65" s="74" t="s">
        <v>96</v>
      </c>
      <c r="C65" s="75" t="s">
        <v>97</v>
      </c>
    </row>
    <row r="66" spans="1:3" ht="15.75" thickBot="1">
      <c r="A66" s="162"/>
      <c r="B66" s="72" t="s">
        <v>98</v>
      </c>
      <c r="C66" s="75" t="s">
        <v>99</v>
      </c>
    </row>
    <row r="67" spans="1:3" ht="15.75" thickBot="1">
      <c r="A67" s="62" t="s">
        <v>55</v>
      </c>
      <c r="B67" s="88"/>
      <c r="C67" s="89"/>
    </row>
    <row r="68" spans="1:3" ht="15.75" thickBot="1">
      <c r="A68" s="65" t="s">
        <v>35</v>
      </c>
      <c r="B68" s="86"/>
      <c r="C68" s="87"/>
    </row>
    <row r="69" spans="1:3" ht="15.75" thickBot="1">
      <c r="A69" s="62" t="s">
        <v>36</v>
      </c>
      <c r="B69" s="77" t="s">
        <v>38</v>
      </c>
      <c r="C69" s="76" t="s">
        <v>39</v>
      </c>
    </row>
  </sheetData>
  <mergeCells count="19">
    <mergeCell ref="A23:A24"/>
    <mergeCell ref="A64:A66"/>
    <mergeCell ref="A27:A29"/>
    <mergeCell ref="A30:A32"/>
    <mergeCell ref="A49:A50"/>
    <mergeCell ref="A53:A55"/>
    <mergeCell ref="A56:A58"/>
    <mergeCell ref="A59:A63"/>
    <mergeCell ref="A33:A37"/>
    <mergeCell ref="A38:A40"/>
    <mergeCell ref="A46:C46"/>
    <mergeCell ref="A25:A26"/>
    <mergeCell ref="A51:A52"/>
    <mergeCell ref="A1:C1"/>
    <mergeCell ref="A4:A5"/>
    <mergeCell ref="A8:A12"/>
    <mergeCell ref="A13:A15"/>
    <mergeCell ref="A20:C20"/>
    <mergeCell ref="A6:A7"/>
  </mergeCells>
  <pageMargins left="0.7" right="0.7" top="0.78740157499999996" bottom="0.78740157499999996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uma_x010d_as xmlns="5e6c6bb9-4fdb-4153-b5c2-b1f303e94cd8" xsi:nil="true"/>
    <Datuma_x010d_as1 xmlns="5e6c6bb9-4fdb-4153-b5c2-b1f303e94cd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F9F53BB494F840ACC92E15957552E0" ma:contentTypeVersion="18" ma:contentTypeDescription="Vytvoří nový dokument" ma:contentTypeScope="" ma:versionID="359982a3d82a5ed7181c267e538befbd">
  <xsd:schema xmlns:xsd="http://www.w3.org/2001/XMLSchema" xmlns:xs="http://www.w3.org/2001/XMLSchema" xmlns:p="http://schemas.microsoft.com/office/2006/metadata/properties" xmlns:ns2="5e6c6bb9-4fdb-4153-b5c2-b1f303e94cd8" xmlns:ns3="b78b7939-5d89-4a97-99ad-a2d42dabfe29" targetNamespace="http://schemas.microsoft.com/office/2006/metadata/properties" ma:root="true" ma:fieldsID="9654c4f9f30244fdd4797a3d45b3b176" ns2:_="" ns3:_="">
    <xsd:import namespace="5e6c6bb9-4fdb-4153-b5c2-b1f303e94cd8"/>
    <xsd:import namespace="b78b7939-5d89-4a97-99ad-a2d42dabfe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Datuma_x010d_as" minOccurs="0"/>
                <xsd:element ref="ns2:Datuma_x010d_as1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c6bb9-4fdb-4153-b5c2-b1f303e94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7" nillable="true" ma:displayName="MediaLengthInSeconds" ma:description="" ma:internalName="MediaLengthInSeconds" ma:readOnly="true">
      <xsd:simpleType>
        <xsd:restriction base="dms:Unknown"/>
      </xsd:simpleType>
    </xsd:element>
    <xsd:element name="MediaServiceDateTaken" ma:index="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Datuma_x010d_as" ma:index="9" nillable="true" ma:displayName="Datum a čas" ma:format="DateOnly" ma:internalName="Datuma_x010d_as" ma:readOnly="false">
      <xsd:simpleType>
        <xsd:restriction base="dms:DateTime"/>
      </xsd:simpleType>
    </xsd:element>
    <xsd:element name="Datuma_x010d_as1" ma:index="10" nillable="true" ma:displayName="Datum a čas 1" ma:format="DateTime" ma:internalName="Datuma_x010d_as1" ma:readOnly="false">
      <xsd:simpleType>
        <xsd:restriction base="dms:DateTim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b7939-5d89-4a97-99ad-a2d42dabfe2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dílí se s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3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F3A0E5-34EA-4D74-A39A-123F62FF15B3}"/>
</file>

<file path=customXml/itemProps2.xml><?xml version="1.0" encoding="utf-8"?>
<ds:datastoreItem xmlns:ds="http://schemas.openxmlformats.org/officeDocument/2006/customXml" ds:itemID="{AD7E5F91-F06E-4327-B012-1149FEE62E04}"/>
</file>

<file path=customXml/itemProps3.xml><?xml version="1.0" encoding="utf-8"?>
<ds:datastoreItem xmlns:ds="http://schemas.openxmlformats.org/officeDocument/2006/customXml" ds:itemID="{C35B9C3A-A339-4560-A784-D8390AD57F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Česká spořitelna, a.s.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cen35817</dc:creator>
  <cp:keywords/>
  <dc:description/>
  <cp:lastModifiedBy>Hotěk Jaroslav</cp:lastModifiedBy>
  <cp:revision/>
  <dcterms:created xsi:type="dcterms:W3CDTF">2011-01-10T13:42:34Z</dcterms:created>
  <dcterms:modified xsi:type="dcterms:W3CDTF">2025-01-10T12:36:58Z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0x010100A6F9F53BB494F840ACC92E15957552E0</vt:lpwstr>
  </property>
  <property fmtid="{D5CDD505-2E9C-101B-9397-08002B2CF9AE}" pid="3" name="MSIP_Label_38939b85-7e40-4a1d-91e1-0e84c3b219d7_Enabled">
    <vt:lpwstr>true</vt:lpwstr>
  </property>
  <property fmtid="{D5CDD505-2E9C-101B-9397-08002B2CF9AE}" pid="4" name="MSIP_Label_38939b85-7e40-4a1d-91e1-0e84c3b219d7_Name">
    <vt:lpwstr>38939b85-7e40-4a1d-91e1-0e84c3b219d7</vt:lpwstr>
  </property>
  <property fmtid="{D5CDD505-2E9C-101B-9397-08002B2CF9AE}" pid="5" name="MSIP_Label_38939b85-7e40-4a1d-91e1-0e84c3b219d7_SetDate">
    <vt:lpwstr>2023-06-13T14:21:54Z</vt:lpwstr>
  </property>
  <property fmtid="{D5CDD505-2E9C-101B-9397-08002B2CF9AE}" pid="6" name="MSIP_Label_38939b85-7e40-4a1d-91e1-0e84c3b219d7_ContentBits">
    <vt:lpwstr>0</vt:lpwstr>
  </property>
  <property fmtid="{D5CDD505-2E9C-101B-9397-08002B2CF9AE}" pid="7" name="MSIP_Label_38939b85-7e40-4a1d-91e1-0e84c3b219d7_ActionId">
    <vt:lpwstr>13fe68f6-dfa0-4ff1-a273-1ffd7610a4d7</vt:lpwstr>
  </property>
  <property fmtid="{D5CDD505-2E9C-101B-9397-08002B2CF9AE}" pid="8" name="MSIP_Label_38939b85-7e40-4a1d-91e1-0e84c3b219d7_SiteId">
    <vt:lpwstr>3ad0376a-54d3-49a6-9e20-52de0a92fc89</vt:lpwstr>
  </property>
  <property fmtid="{D5CDD505-2E9C-101B-9397-08002B2CF9AE}" pid="9" name="MSIP_Label_38939b85-7e40-4a1d-91e1-0e84c3b219d7_Method">
    <vt:lpwstr>Standard</vt:lpwstr>
  </property>
</Properties>
</file>
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0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n31502\Documents\MP\CMP\"/>
    </mc:Choice>
  </mc:AlternateContent>
  <xr:revisionPtr revIDLastSave="1" documentId="13_ncr:1_{BFF52F04-2179-409F-9C8D-B276B1BE2466}" xr6:coauthVersionLast="47" xr6:coauthVersionMax="47" xr10:uidLastSave="{3B4EB3AE-3F86-43A4-AF9C-F479EE3C0B3A}"/>
  <bookViews>
    <workbookView xWindow="-108" yWindow="-108" windowWidth="23256" windowHeight="12576" xr2:uid="{00000000-000D-0000-FFFF-FFFF00000000}"/>
  </bookViews>
  <sheets>
    <sheet name="RŘC1 do 3 let" sheetId="15" r:id="rId1"/>
    <sheet name="RŘC2 5+" sheetId="16" r:id="rId2"/>
    <sheet name="RŘC2 3-5" sheetId="20" r:id="rId3"/>
    <sheet name="RŘC3 5+" sheetId="17" r:id="rId4"/>
    <sheet name="RŘC3 3-5" sheetId="21" r:id="rId5"/>
    <sheet name="RŘC4 5+" sheetId="18" r:id="rId6"/>
    <sheet name="RŘC4 3-5" sheetId="24" r:id="rId7"/>
    <sheet name="Pravidelná investice" sheetId="12" r:id="rId8"/>
    <sheet name="Substituční produkty" sheetId="19" r:id="rId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8" l="1"/>
  <c r="H20" i="17"/>
  <c r="H17" i="16"/>
  <c r="H6" i="24" l="1"/>
  <c r="H6" i="17"/>
  <c r="H11" i="20"/>
  <c r="H6" i="20"/>
  <c r="H12" i="20" s="1"/>
  <c r="H6" i="21"/>
  <c r="H5" i="20"/>
  <c r="H7" i="20"/>
  <c r="H8" i="20"/>
  <c r="H9" i="20"/>
  <c r="H5" i="17"/>
  <c r="H7" i="17"/>
  <c r="H8" i="17"/>
  <c r="H21" i="17" s="1"/>
  <c r="H9" i="17"/>
  <c r="H10" i="17"/>
  <c r="H11" i="17"/>
  <c r="H13" i="17"/>
  <c r="H14" i="17"/>
  <c r="H15" i="17"/>
  <c r="H16" i="17"/>
  <c r="H18" i="17"/>
  <c r="H5" i="21"/>
  <c r="H7" i="21"/>
  <c r="H8" i="21"/>
  <c r="H9" i="21"/>
  <c r="H10" i="21"/>
  <c r="H12" i="21"/>
  <c r="H5" i="18"/>
  <c r="H6" i="18"/>
  <c r="H7" i="18"/>
  <c r="H8" i="18"/>
  <c r="H9" i="18"/>
  <c r="H11" i="18"/>
  <c r="H12" i="18"/>
  <c r="H13" i="18"/>
  <c r="H14" i="18"/>
  <c r="H16" i="18"/>
  <c r="H5" i="24"/>
  <c r="H7" i="24"/>
  <c r="H8" i="24"/>
  <c r="H9" i="24"/>
  <c r="H13" i="24" s="1"/>
  <c r="H10" i="24"/>
  <c r="H12" i="24"/>
  <c r="G13" i="24"/>
  <c r="G19" i="18"/>
  <c r="G13" i="21"/>
  <c r="G21" i="17"/>
  <c r="G12" i="20"/>
  <c r="G18" i="16"/>
  <c r="H15" i="16"/>
  <c r="H13" i="16"/>
  <c r="H12" i="16"/>
  <c r="H11" i="16"/>
  <c r="H9" i="16"/>
  <c r="H8" i="16"/>
  <c r="H7" i="16"/>
  <c r="H5" i="16"/>
  <c r="H18" i="16" s="1"/>
  <c r="H19" i="18" l="1"/>
  <c r="H13" i="21"/>
</calcChain>
</file>

<file path=xl/sharedStrings.xml><?xml version="1.0" encoding="utf-8"?>
<sst xmlns="http://schemas.openxmlformats.org/spreadsheetml/2006/main" count="508" uniqueCount="152">
  <si>
    <t>Pro Rizikovost řešení cíle 1 (RŘC1), horizont do 3 let:</t>
  </si>
  <si>
    <t>Produktové naplnění pro RŘC1 varianta A:</t>
  </si>
  <si>
    <t>MPV v EUR</t>
  </si>
  <si>
    <t>Produktové naplnění pro RŘC1 varianta B:</t>
  </si>
  <si>
    <t>BNP Paribas Funds Euro Money Market (LU0083138064)</t>
  </si>
  <si>
    <t>Modelové portfolio pro Rizikovost řešení cíle 2 v EUR - platné od 1. května 2023</t>
  </si>
  <si>
    <t>Doporučená alokace aktiv pro RŘC2 - Investiční horizont:  5 let a déle</t>
  </si>
  <si>
    <t>ISIN</t>
  </si>
  <si>
    <t>Váha</t>
  </si>
  <si>
    <t>Částka EUR</t>
  </si>
  <si>
    <t>popis</t>
  </si>
  <si>
    <t>ÚROKOVÁ SLOŽKA</t>
  </si>
  <si>
    <t>Nástroje peněžního trhu a krátkodobé dluhopisy</t>
  </si>
  <si>
    <t>0 - 10%</t>
  </si>
  <si>
    <t>Státní dluhopisy</t>
  </si>
  <si>
    <t>20 - 70%</t>
  </si>
  <si>
    <t>BNP Paribas Funds Euro Government Bond</t>
  </si>
  <si>
    <t>LU0111548326</t>
  </si>
  <si>
    <t>http://www.bnpparibas-ip.cz/en-cz/intermediary-fund-selector/fundsheet/fixed-income/parvest-bond-euro-government-classic-c-lu0111548326/</t>
  </si>
  <si>
    <t>ESPA PORTFOLIO BOND EUROPE (VT) EUR</t>
  </si>
  <si>
    <t>AT0000673215</t>
  </si>
  <si>
    <t>https://www.erste-am.cz/cs/privatni-investori/funds/espa-portfolio-bond-europe/AT0000858527</t>
  </si>
  <si>
    <t>Korporátní dluhopisy na investičním stupni</t>
  </si>
  <si>
    <t>0 - 40%</t>
  </si>
  <si>
    <t>Franklin European Corporate Bond Fund - A(acc)EUR</t>
  </si>
  <si>
    <t>LU0496369546</t>
  </si>
  <si>
    <t>http://www.franklintempleton.cz/cs-cz/advisor/fondy/fund-detail/14446/Franklin-European-Corporate-Bond-Fund</t>
  </si>
  <si>
    <t>Goldman Sachs Euro Fixed Income</t>
  </si>
  <si>
    <t>LU0546917773</t>
  </si>
  <si>
    <t>https://www.nnip.com/CZ_cs/private/Fondy/Prehled-fondu/view/name/NN-L-Euro-Fixed-Income-P-Cap-EUR/isin/LU0546917773.htm</t>
  </si>
  <si>
    <t>AKCIOVÁ SLOŽKA</t>
  </si>
  <si>
    <t>Akcie vyspělé trhy globální</t>
  </si>
  <si>
    <t>5 - 20%</t>
  </si>
  <si>
    <t>Fidelity Funds - Global Dividend Fund A-ACC-Euro</t>
  </si>
  <si>
    <t>LU0605515377</t>
  </si>
  <si>
    <t>https://www.fidelity.cz/fondy-a-ceny/factsheet/LU0605515377</t>
  </si>
  <si>
    <t>ESPA STOCK BIOTEC (VT) EUR</t>
  </si>
  <si>
    <t>AT0000673165</t>
  </si>
  <si>
    <t>https://www.erste-am.cz/cs/privatni-investori/funds/espa-stock-biotec/AT0000746748</t>
  </si>
  <si>
    <t>Akcie rozvíjející se trhy</t>
  </si>
  <si>
    <t>0 - 5%</t>
  </si>
  <si>
    <t>ALTERNATIVNÍ SLOŽKA</t>
  </si>
  <si>
    <t>Reality</t>
  </si>
  <si>
    <t>ESPA STOCK EUROPE-PROPERTY (VT) EUR</t>
  </si>
  <si>
    <t>AT0000613617</t>
  </si>
  <si>
    <t>https://www.erste-am.cz/cs/privatni-investori/funds/espa-stock-europe-property/AT0000708334</t>
  </si>
  <si>
    <t>Komodity</t>
  </si>
  <si>
    <t>Alternativní strategie</t>
  </si>
  <si>
    <t>Portfolio celkem</t>
  </si>
  <si>
    <t>Celková částka v EUR</t>
  </si>
  <si>
    <t>Doporučená alokace aktiv pro RŘC2 - Investiční horizont:  3 až 5 let</t>
  </si>
  <si>
    <t>60 - 90%</t>
  </si>
  <si>
    <t>0 - 20%</t>
  </si>
  <si>
    <t>Modelové portfolio pro Rizikovost řešení cíle 3 v EUR - platné od 1. května 2023</t>
  </si>
  <si>
    <t>Doporučená alokace aktiv pro RŘC3 - Investiční horizont:  5 let a déle</t>
  </si>
  <si>
    <t>10 - 50%</t>
  </si>
  <si>
    <t>0 - 25%</t>
  </si>
  <si>
    <t>High Yield dluhopisy</t>
  </si>
  <si>
    <t>ESPA BOND EUROPE-HIGH YIELD EUR</t>
  </si>
  <si>
    <t>AT0000673280</t>
  </si>
  <si>
    <t>https://www.erste-am.cz/cs/privatni-investori/funds/espa-bond-europe-high-yield/AT0000805676</t>
  </si>
  <si>
    <t>Emerging markets dluhopisy</t>
  </si>
  <si>
    <t>20 - 40%</t>
  </si>
  <si>
    <t>0 - 15%</t>
  </si>
  <si>
    <t>ESPA STOCK GLOBAL-EMERGING MARKETS (VT) EUR</t>
  </si>
  <si>
    <t>AT0000A00GK1</t>
  </si>
  <si>
    <t>https://www.erste-am.cz/cs/privatni-investori/funds/espa-stock-global-emerging-markets/AT0000680962</t>
  </si>
  <si>
    <t>Akcie rozvíjející se trhy CEE</t>
  </si>
  <si>
    <t>Modelové portfolio pro Rizikovost řešení cíle 3 v EUR -platné od 1. května 2023</t>
  </si>
  <si>
    <t>Doporučená alokace aktiv pro RŘC3 - Investiční horizont:  3 až 5 let</t>
  </si>
  <si>
    <t>25 - 75%</t>
  </si>
  <si>
    <t xml:space="preserve"> </t>
  </si>
  <si>
    <t>Modelové portfolio pro Rizikovost řešení cíle 4 v EUR - platné od 1. května 2023</t>
  </si>
  <si>
    <t>Doporučená alokace aktiv pro RŘC4 - Investiční horizont:  5 let a déle</t>
  </si>
  <si>
    <t>35 - 70%</t>
  </si>
  <si>
    <t>Doporučená alokace aktiv pro RŘC4 - Investiční horizont:  3 až 5 let</t>
  </si>
  <si>
    <t>20 - 60%</t>
  </si>
  <si>
    <t>0 - 30%</t>
  </si>
  <si>
    <t>RŘC2</t>
  </si>
  <si>
    <t>Minimální délka doporučeného investičního horizontu</t>
  </si>
  <si>
    <t>5 let a déle</t>
  </si>
  <si>
    <t>3 až 4,99 roku</t>
  </si>
  <si>
    <t>RŘC3</t>
  </si>
  <si>
    <t>ESPA STOCK GLOBAL (VT) EUR</t>
  </si>
  <si>
    <t>RŘC4</t>
  </si>
  <si>
    <t>Substituční produkty pro Rizikovost řešení cíle 2</t>
  </si>
  <si>
    <t>Třídy aktiv</t>
  </si>
  <si>
    <t>Substituce naplnění pro RŘC2 - seznam produktů</t>
  </si>
  <si>
    <t xml:space="preserve">Franklin Euro Government Bond Fund A(Ydis)EUR </t>
  </si>
  <si>
    <t>LU0093669546</t>
  </si>
  <si>
    <t>Templeton Global Bond Fund - A(acc) EUR-H1</t>
  </si>
  <si>
    <t>LU0294219869</t>
  </si>
  <si>
    <t>Goldman Sachs Euromix Bond</t>
  </si>
  <si>
    <t>LU0546916619</t>
  </si>
  <si>
    <t xml:space="preserve">Fidelity Funds - Euro Bond Fund A-ACC-Euro </t>
  </si>
  <si>
    <t>LU0251130638</t>
  </si>
  <si>
    <t>Fidelity Funds - Euro Corporate Bond Fund A-ACC-Euro</t>
  </si>
  <si>
    <t>LU0370787193</t>
  </si>
  <si>
    <t>BNP Paribas Funds Euro Corporate Bond</t>
  </si>
  <si>
    <t>LU0131210360</t>
  </si>
  <si>
    <t>Franklin Mutual European Fund - A(acc)EUR</t>
  </si>
  <si>
    <t>LU0140363002</t>
  </si>
  <si>
    <t>AT0000673314</t>
  </si>
  <si>
    <t>ERSTE WWF STOCK ENVIRONMENT (VT) EUR</t>
  </si>
  <si>
    <t>AT0000A03N37</t>
  </si>
  <si>
    <t>BNP Paribas Funds Global Low Vol Equity</t>
  </si>
  <si>
    <t>LU0823417810</t>
  </si>
  <si>
    <t>BNP Paribas Funds Europe Dividend</t>
  </si>
  <si>
    <t>LU0111491469</t>
  </si>
  <si>
    <t>Goldman Sachs Global Sustainable Equity</t>
  </si>
  <si>
    <t xml:space="preserve">  LU0119216553 </t>
  </si>
  <si>
    <t>Goldman Sachs Global High Dividend</t>
  </si>
  <si>
    <t>LU0146257711</t>
  </si>
  <si>
    <t>ESPA STOCK EUROPE-EMERGING (VT) EUR</t>
  </si>
  <si>
    <t>AT0000673181</t>
  </si>
  <si>
    <t>Templeton Eastern Europe Fund - A(acc)EUR</t>
  </si>
  <si>
    <t>LU0078277505</t>
  </si>
  <si>
    <t>ESPA STOCK ISTANBUL (VT) EUR</t>
  </si>
  <si>
    <t>AT0000494893</t>
  </si>
  <si>
    <t>Franklin Global Real Estate Fund - A(acc)EUR-H1</t>
  </si>
  <si>
    <t>LU0523919115</t>
  </si>
  <si>
    <t>Substituční produkty pro Rizikovost řešení cíle 3</t>
  </si>
  <si>
    <t>Substituce naplnění pro RŘC3 - seznam produktů</t>
  </si>
  <si>
    <t>Popis</t>
  </si>
  <si>
    <t>Goldman Sachs First Class Yield Opportunities</t>
  </si>
  <si>
    <t>LU0922501720</t>
  </si>
  <si>
    <t>Franklin Euro High Yield Fund - A(acc)EUR</t>
  </si>
  <si>
    <t>LU0131126574</t>
  </si>
  <si>
    <t>Templeton Global High Yield Fund - A(acc)EUR</t>
  </si>
  <si>
    <t>LU0300743944</t>
  </si>
  <si>
    <t>BNP Paribas Funds Global High Yield Bond</t>
  </si>
  <si>
    <t>LU0823388615</t>
  </si>
  <si>
    <t>Goldman Sachs Global High Yield P hedged</t>
  </si>
  <si>
    <t>LU0546918664</t>
  </si>
  <si>
    <t>Templeton Emerging Markets Bond Fund - A(acc)EUR-H1</t>
  </si>
  <si>
    <t>LU0768355603</t>
  </si>
  <si>
    <t xml:space="preserve">ESPA BOND DANUBIA (VT) EUR </t>
  </si>
  <si>
    <t>AT0000673199</t>
  </si>
  <si>
    <t>Franklin European Growth Fund - A(acc)EUR</t>
  </si>
  <si>
    <t>LU0122612848</t>
  </si>
  <si>
    <t xml:space="preserve">  LU0119216553</t>
  </si>
  <si>
    <t>Fidelity Funds - Emerging Markets Fund A-ACC-Euro (hedged)</t>
  </si>
  <si>
    <t>LU1097728288</t>
  </si>
  <si>
    <t>ESPA STOCK GLOBAL EMARGING MARKETS (VT) EUR</t>
  </si>
  <si>
    <t>AT0000A10QN3</t>
  </si>
  <si>
    <t>Templeton Emerging Markets Fund - A(acc)EUR-H1</t>
  </si>
  <si>
    <t>LU0626262082</t>
  </si>
  <si>
    <t>NN (L) Emerging Europe Equity - X Cap EUR</t>
  </si>
  <si>
    <t>LU0113311731</t>
  </si>
  <si>
    <t>Substituční produkty pro Rizikovost řešení cíle 4</t>
  </si>
  <si>
    <t>Substituce naplnění pro RŘC4 - seznam produktů</t>
  </si>
  <si>
    <t>LU0119216553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</si>
</sst>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name val="Arial"/>
      <charset val="238"/>
    </font>
    <font>
      <u/>
      <sz val="10"/>
      <color indexed="12"/>
      <name val="Arial"/>
      <family val="2"/>
      <charset val="238"/>
    </font>
    <font>
      <sz val="8"/>
      <name val="Arial"/>
      <family val="2"/>
      <charset val="238"/>
    </font>
    <font>
      <sz val="10"/>
      <name val="Arial"/>
      <family val="2"/>
      <charset val="238"/>
    </font>
    <font>
      <b/>
      <sz val="12"/>
      <name val="Calibri"/>
      <family val="2"/>
      <charset val="238"/>
    </font>
    <font>
      <b/>
      <sz val="12"/>
      <color indexed="9"/>
      <name val="Calibri"/>
      <family val="2"/>
      <charset val="238"/>
    </font>
    <font>
      <sz val="14"/>
      <name val="Arial"/>
      <family val="2"/>
      <charset val="238"/>
    </font>
    <font>
      <b/>
      <sz val="11"/>
      <color theme="0"/>
      <name val="Calibri"/>
      <family val="2"/>
      <charset val="238"/>
      <scheme val="minor"/>
    </font>
    <font>
      <b/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color indexed="9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b/>
      <sz val="11"/>
      <color indexed="9"/>
      <name val="Calibri"/>
      <family val="2"/>
      <charset val="238"/>
      <scheme val="minor"/>
    </font>
    <font>
      <u/>
      <sz val="8"/>
      <color indexed="12"/>
      <name val="Calibri"/>
      <family val="2"/>
      <charset val="238"/>
      <scheme val="minor"/>
    </font>
    <font>
      <sz val="8"/>
      <color rgb="FF0000FF"/>
      <name val="Calibri"/>
      <family val="2"/>
      <charset val="238"/>
      <scheme val="minor"/>
    </font>
    <font>
      <u/>
      <sz val="10"/>
      <color indexed="12"/>
      <name val="Calibri"/>
      <family val="2"/>
      <charset val="238"/>
      <scheme val="minor"/>
    </font>
    <font>
      <u/>
      <sz val="10"/>
      <color rgb="FF0000FF"/>
      <name val="Calibri"/>
      <family val="2"/>
      <charset val="238"/>
      <scheme val="minor"/>
    </font>
    <font>
      <sz val="10"/>
      <color rgb="FF0000FF"/>
      <name val="Calibri"/>
      <family val="2"/>
      <charset val="238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45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/>
    <xf numFmtId="9" fontId="4" fillId="0" borderId="2" xfId="0" applyNumberFormat="1" applyFont="1" applyBorder="1" applyAlignment="1">
      <alignment horizontal="center" vertical="center"/>
    </xf>
    <xf numFmtId="9" fontId="4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9" fontId="4" fillId="0" borderId="7" xfId="0" applyNumberFormat="1" applyFont="1" applyBorder="1" applyAlignment="1">
      <alignment horizontal="center" vertical="center"/>
    </xf>
    <xf numFmtId="9" fontId="8" fillId="0" borderId="8" xfId="0" applyNumberFormat="1" applyFont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5" borderId="7" xfId="0" applyFont="1" applyFill="1" applyBorder="1" applyAlignment="1">
      <alignment vertical="center"/>
    </xf>
    <xf numFmtId="0" fontId="9" fillId="0" borderId="0" xfId="0" applyFont="1"/>
    <xf numFmtId="0" fontId="10" fillId="2" borderId="5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12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/>
    </xf>
    <xf numFmtId="0" fontId="12" fillId="0" borderId="12" xfId="0" applyFont="1" applyBorder="1" applyAlignment="1">
      <alignment horizontal="center" vertical="center"/>
    </xf>
    <xf numFmtId="9" fontId="8" fillId="0" borderId="12" xfId="0" applyNumberFormat="1" applyFont="1" applyBorder="1" applyAlignment="1">
      <alignment horizontal="center" vertical="center"/>
    </xf>
    <xf numFmtId="0" fontId="11" fillId="5" borderId="9" xfId="0" applyFont="1" applyFill="1" applyBorder="1" applyAlignment="1">
      <alignment vertical="center"/>
    </xf>
    <xf numFmtId="0" fontId="8" fillId="5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left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vertical="center"/>
    </xf>
    <xf numFmtId="9" fontId="8" fillId="6" borderId="12" xfId="0" applyNumberFormat="1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vertical="center"/>
    </xf>
    <xf numFmtId="0" fontId="12" fillId="0" borderId="16" xfId="0" applyFont="1" applyBorder="1" applyAlignment="1">
      <alignment horizontal="center" vertical="center"/>
    </xf>
    <xf numFmtId="9" fontId="8" fillId="0" borderId="16" xfId="0" applyNumberFormat="1" applyFont="1" applyBorder="1" applyAlignment="1">
      <alignment horizontal="center" vertical="center"/>
    </xf>
    <xf numFmtId="0" fontId="13" fillId="0" borderId="0" xfId="0" applyFont="1"/>
    <xf numFmtId="0" fontId="12" fillId="0" borderId="15" xfId="0" applyFont="1" applyBorder="1" applyAlignment="1">
      <alignment horizontal="center" vertical="center"/>
    </xf>
    <xf numFmtId="9" fontId="8" fillId="0" borderId="15" xfId="0" applyNumberFormat="1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vertical="center"/>
    </xf>
    <xf numFmtId="0" fontId="12" fillId="0" borderId="13" xfId="0" applyFont="1" applyBorder="1" applyAlignment="1">
      <alignment horizontal="center" vertical="center"/>
    </xf>
    <xf numFmtId="9" fontId="8" fillId="0" borderId="13" xfId="0" applyNumberFormat="1" applyFont="1" applyBorder="1" applyAlignment="1">
      <alignment horizontal="center" vertical="center"/>
    </xf>
    <xf numFmtId="0" fontId="3" fillId="0" borderId="0" xfId="0" applyFont="1"/>
    <xf numFmtId="0" fontId="15" fillId="0" borderId="0" xfId="0" applyFont="1"/>
    <xf numFmtId="0" fontId="16" fillId="7" borderId="0" xfId="0" applyFont="1" applyFill="1" applyAlignment="1">
      <alignment horizontal="left" vertical="center"/>
    </xf>
    <xf numFmtId="3" fontId="16" fillId="7" borderId="0" xfId="0" applyNumberFormat="1" applyFont="1" applyFill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/>
    </xf>
    <xf numFmtId="3" fontId="8" fillId="0" borderId="17" xfId="0" applyNumberFormat="1" applyFont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4" xfId="0" applyFont="1" applyBorder="1" applyAlignment="1">
      <alignment vertical="center"/>
    </xf>
    <xf numFmtId="0" fontId="15" fillId="0" borderId="18" xfId="0" applyFont="1" applyBorder="1" applyAlignment="1">
      <alignment horizontal="left" vertical="center"/>
    </xf>
    <xf numFmtId="0" fontId="15" fillId="8" borderId="18" xfId="0" applyFont="1" applyFill="1" applyBorder="1" applyAlignment="1">
      <alignment horizontal="left" vertical="center"/>
    </xf>
    <xf numFmtId="0" fontId="15" fillId="8" borderId="19" xfId="0" applyFont="1" applyFill="1" applyBorder="1" applyAlignment="1">
      <alignment vertical="center"/>
    </xf>
    <xf numFmtId="0" fontId="15" fillId="8" borderId="20" xfId="0" applyFont="1" applyFill="1" applyBorder="1" applyAlignment="1">
      <alignment horizontal="center" vertical="center"/>
    </xf>
    <xf numFmtId="0" fontId="15" fillId="9" borderId="18" xfId="0" applyFont="1" applyFill="1" applyBorder="1" applyAlignment="1">
      <alignment horizontal="left" vertical="center"/>
    </xf>
    <xf numFmtId="0" fontId="15" fillId="9" borderId="19" xfId="0" applyFont="1" applyFill="1" applyBorder="1" applyAlignment="1">
      <alignment vertical="center"/>
    </xf>
    <xf numFmtId="0" fontId="15" fillId="9" borderId="20" xfId="0" applyFont="1" applyFill="1" applyBorder="1" applyAlignment="1">
      <alignment horizontal="center" vertical="center"/>
    </xf>
    <xf numFmtId="0" fontId="15" fillId="8" borderId="21" xfId="0" applyFont="1" applyFill="1" applyBorder="1" applyAlignment="1">
      <alignment vertical="center"/>
    </xf>
    <xf numFmtId="0" fontId="15" fillId="8" borderId="22" xfId="0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23" xfId="0" applyFont="1" applyFill="1" applyBorder="1" applyAlignment="1">
      <alignment horizontal="center" vertical="center"/>
    </xf>
    <xf numFmtId="0" fontId="15" fillId="9" borderId="0" xfId="0" applyFont="1" applyFill="1" applyAlignment="1">
      <alignment vertical="center"/>
    </xf>
    <xf numFmtId="0" fontId="15" fillId="9" borderId="24" xfId="0" applyFont="1" applyFill="1" applyBorder="1" applyAlignment="1">
      <alignment horizontal="center" vertical="center"/>
    </xf>
    <xf numFmtId="0" fontId="15" fillId="9" borderId="25" xfId="0" applyFont="1" applyFill="1" applyBorder="1" applyAlignment="1">
      <alignment vertical="center"/>
    </xf>
    <xf numFmtId="0" fontId="15" fillId="9" borderId="26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vertical="center"/>
    </xf>
    <xf numFmtId="0" fontId="15" fillId="8" borderId="28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vertical="center"/>
    </xf>
    <xf numFmtId="0" fontId="15" fillId="8" borderId="24" xfId="0" applyFont="1" applyFill="1" applyBorder="1" applyAlignment="1">
      <alignment horizontal="center" vertical="center"/>
    </xf>
    <xf numFmtId="0" fontId="7" fillId="10" borderId="18" xfId="0" applyFont="1" applyFill="1" applyBorder="1" applyAlignment="1">
      <alignment horizontal="center"/>
    </xf>
    <xf numFmtId="0" fontId="17" fillId="10" borderId="10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center" vertical="center" wrapText="1"/>
    </xf>
    <xf numFmtId="0" fontId="15" fillId="9" borderId="7" xfId="0" applyFont="1" applyFill="1" applyBorder="1" applyAlignment="1">
      <alignment vertical="center"/>
    </xf>
    <xf numFmtId="0" fontId="15" fillId="9" borderId="14" xfId="0" applyFont="1" applyFill="1" applyBorder="1" applyAlignment="1">
      <alignment vertical="center"/>
    </xf>
    <xf numFmtId="0" fontId="15" fillId="9" borderId="18" xfId="0" applyFont="1" applyFill="1" applyBorder="1" applyAlignment="1">
      <alignment horizontal="center" vertical="center"/>
    </xf>
    <xf numFmtId="0" fontId="15" fillId="8" borderId="25" xfId="0" applyFont="1" applyFill="1" applyBorder="1" applyAlignment="1">
      <alignment vertical="center"/>
    </xf>
    <xf numFmtId="0" fontId="15" fillId="8" borderId="26" xfId="0" applyFont="1" applyFill="1" applyBorder="1" applyAlignment="1">
      <alignment horizontal="center" vertical="center"/>
    </xf>
    <xf numFmtId="0" fontId="15" fillId="8" borderId="20" xfId="0" applyFont="1" applyFill="1" applyBorder="1" applyAlignment="1">
      <alignment vertical="center"/>
    </xf>
    <xf numFmtId="0" fontId="15" fillId="8" borderId="28" xfId="0" applyFont="1" applyFill="1" applyBorder="1" applyAlignment="1">
      <alignment vertical="center"/>
    </xf>
    <xf numFmtId="0" fontId="15" fillId="8" borderId="24" xfId="0" applyFont="1" applyFill="1" applyBorder="1" applyAlignment="1">
      <alignment vertical="center"/>
    </xf>
    <xf numFmtId="0" fontId="15" fillId="8" borderId="19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vertical="center"/>
    </xf>
    <xf numFmtId="0" fontId="15" fillId="8" borderId="29" xfId="0" applyFont="1" applyFill="1" applyBorder="1" applyAlignment="1">
      <alignment horizontal="center" vertical="center"/>
    </xf>
    <xf numFmtId="0" fontId="15" fillId="9" borderId="24" xfId="0" applyFont="1" applyFill="1" applyBorder="1" applyAlignment="1">
      <alignment vertical="center"/>
    </xf>
    <xf numFmtId="0" fontId="15" fillId="9" borderId="29" xfId="0" applyFont="1" applyFill="1" applyBorder="1" applyAlignment="1">
      <alignment horizontal="center" vertical="center"/>
    </xf>
    <xf numFmtId="0" fontId="15" fillId="8" borderId="31" xfId="0" applyFont="1" applyFill="1" applyBorder="1" applyAlignment="1">
      <alignment vertical="center"/>
    </xf>
    <xf numFmtId="0" fontId="8" fillId="0" borderId="32" xfId="0" applyFont="1" applyBorder="1" applyAlignment="1">
      <alignment vertical="center"/>
    </xf>
    <xf numFmtId="0" fontId="12" fillId="0" borderId="32" xfId="0" applyFont="1" applyBorder="1" applyAlignment="1">
      <alignment horizontal="center" vertical="center"/>
    </xf>
    <xf numFmtId="9" fontId="8" fillId="0" borderId="32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8" fillId="3" borderId="33" xfId="0" applyFont="1" applyFill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8" fillId="5" borderId="33" xfId="0" applyFont="1" applyFill="1" applyBorder="1" applyAlignment="1">
      <alignment vertical="center"/>
    </xf>
    <xf numFmtId="3" fontId="8" fillId="6" borderId="5" xfId="0" applyNumberFormat="1" applyFont="1" applyFill="1" applyBorder="1" applyAlignment="1">
      <alignment horizontal="center" vertical="center"/>
    </xf>
    <xf numFmtId="0" fontId="10" fillId="2" borderId="18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vertical="center"/>
    </xf>
    <xf numFmtId="0" fontId="12" fillId="9" borderId="0" xfId="0" applyFont="1" applyFill="1" applyAlignment="1">
      <alignment vertical="center"/>
    </xf>
    <xf numFmtId="0" fontId="18" fillId="9" borderId="0" xfId="1" applyFont="1" applyFill="1" applyBorder="1" applyAlignment="1" applyProtection="1">
      <alignment vertical="center"/>
    </xf>
    <xf numFmtId="0" fontId="19" fillId="9" borderId="0" xfId="0" applyFont="1" applyFill="1" applyAlignment="1">
      <alignment vertical="center"/>
    </xf>
    <xf numFmtId="0" fontId="18" fillId="9" borderId="0" xfId="1" applyFont="1" applyFill="1" applyBorder="1" applyAlignment="1" applyProtection="1">
      <alignment horizontal="left" vertical="center"/>
    </xf>
    <xf numFmtId="0" fontId="8" fillId="0" borderId="13" xfId="0" applyFont="1" applyBorder="1" applyAlignment="1">
      <alignment vertical="center"/>
    </xf>
    <xf numFmtId="9" fontId="11" fillId="11" borderId="34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3" fontId="8" fillId="0" borderId="35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vertical="center"/>
    </xf>
    <xf numFmtId="0" fontId="8" fillId="0" borderId="8" xfId="0" applyFont="1" applyBorder="1" applyAlignment="1">
      <alignment horizontal="left" vertical="center" wrapText="1"/>
    </xf>
    <xf numFmtId="0" fontId="8" fillId="0" borderId="32" xfId="0" applyFont="1" applyBorder="1" applyAlignment="1">
      <alignment horizontal="left" vertical="center" wrapText="1"/>
    </xf>
    <xf numFmtId="0" fontId="12" fillId="0" borderId="25" xfId="0" applyFont="1" applyBorder="1" applyAlignment="1">
      <alignment horizontal="center" vertical="center"/>
    </xf>
    <xf numFmtId="3" fontId="8" fillId="0" borderId="36" xfId="0" applyNumberFormat="1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8" fillId="0" borderId="38" xfId="0" applyFont="1" applyBorder="1" applyAlignment="1">
      <alignment horizontal="left" vertical="center" wrapText="1"/>
    </xf>
    <xf numFmtId="0" fontId="12" fillId="0" borderId="38" xfId="0" applyFont="1" applyBorder="1" applyAlignment="1">
      <alignment horizontal="center" vertical="center"/>
    </xf>
    <xf numFmtId="9" fontId="8" fillId="0" borderId="38" xfId="0" applyNumberFormat="1" applyFont="1" applyBorder="1" applyAlignment="1">
      <alignment horizontal="center" vertical="center"/>
    </xf>
    <xf numFmtId="0" fontId="8" fillId="0" borderId="39" xfId="0" applyFont="1" applyBorder="1" applyAlignment="1">
      <alignment vertical="center"/>
    </xf>
    <xf numFmtId="0" fontId="12" fillId="0" borderId="39" xfId="0" applyFont="1" applyBorder="1" applyAlignment="1">
      <alignment horizontal="center" vertical="center"/>
    </xf>
    <xf numFmtId="9" fontId="8" fillId="0" borderId="39" xfId="0" applyNumberFormat="1" applyFont="1" applyBorder="1" applyAlignment="1">
      <alignment horizontal="center" vertical="center"/>
    </xf>
    <xf numFmtId="3" fontId="8" fillId="0" borderId="40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wrapText="1"/>
    </xf>
    <xf numFmtId="0" fontId="15" fillId="9" borderId="23" xfId="0" applyFont="1" applyFill="1" applyBorder="1" applyAlignment="1">
      <alignment horizontal="center" vertical="center"/>
    </xf>
    <xf numFmtId="0" fontId="15" fillId="9" borderId="31" xfId="0" applyFont="1" applyFill="1" applyBorder="1" applyAlignment="1">
      <alignment vertical="center"/>
    </xf>
    <xf numFmtId="0" fontId="15" fillId="9" borderId="28" xfId="0" applyFont="1" applyFill="1" applyBorder="1" applyAlignment="1">
      <alignment horizontal="center" vertical="center"/>
    </xf>
    <xf numFmtId="0" fontId="15" fillId="9" borderId="41" xfId="0" applyFont="1" applyFill="1" applyBorder="1" applyAlignment="1">
      <alignment vertical="center"/>
    </xf>
    <xf numFmtId="0" fontId="15" fillId="9" borderId="42" xfId="0" applyFont="1" applyFill="1" applyBorder="1" applyAlignment="1">
      <alignment vertical="center"/>
    </xf>
    <xf numFmtId="0" fontId="15" fillId="8" borderId="22" xfId="0" applyFont="1" applyFill="1" applyBorder="1" applyAlignment="1">
      <alignment vertical="center"/>
    </xf>
    <xf numFmtId="0" fontId="15" fillId="8" borderId="21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23" xfId="0" applyFont="1" applyBorder="1" applyAlignment="1">
      <alignment horizontal="center" vertical="center"/>
    </xf>
    <xf numFmtId="0" fontId="15" fillId="0" borderId="31" xfId="0" applyFont="1" applyBorder="1" applyAlignment="1">
      <alignment vertical="center"/>
    </xf>
    <xf numFmtId="0" fontId="15" fillId="0" borderId="28" xfId="0" applyFont="1" applyBorder="1" applyAlignment="1">
      <alignment horizontal="center" vertical="center"/>
    </xf>
    <xf numFmtId="0" fontId="1" fillId="0" borderId="0" xfId="1" applyAlignment="1" applyProtection="1"/>
    <xf numFmtId="0" fontId="20" fillId="8" borderId="17" xfId="1" applyFont="1" applyFill="1" applyBorder="1" applyAlignment="1" applyProtection="1">
      <alignment vertical="center"/>
    </xf>
    <xf numFmtId="0" fontId="20" fillId="9" borderId="1" xfId="1" applyFont="1" applyFill="1" applyBorder="1" applyAlignment="1" applyProtection="1">
      <alignment vertical="center"/>
    </xf>
    <xf numFmtId="0" fontId="21" fillId="9" borderId="1" xfId="1" applyFont="1" applyFill="1" applyBorder="1" applyAlignment="1" applyProtection="1">
      <alignment vertical="center"/>
    </xf>
    <xf numFmtId="0" fontId="22" fillId="9" borderId="6" xfId="0" applyFont="1" applyFill="1" applyBorder="1" applyAlignment="1">
      <alignment vertical="center"/>
    </xf>
    <xf numFmtId="0" fontId="20" fillId="8" borderId="6" xfId="1" applyFont="1" applyFill="1" applyBorder="1" applyAlignment="1" applyProtection="1">
      <alignment vertical="center"/>
    </xf>
    <xf numFmtId="0" fontId="21" fillId="0" borderId="30" xfId="1" applyFont="1" applyFill="1" applyBorder="1" applyAlignment="1" applyProtection="1">
      <alignment vertical="center"/>
    </xf>
    <xf numFmtId="0" fontId="21" fillId="0" borderId="28" xfId="1" applyFont="1" applyFill="1" applyBorder="1" applyAlignment="1" applyProtection="1">
      <alignment vertical="center"/>
    </xf>
    <xf numFmtId="0" fontId="8" fillId="0" borderId="45" xfId="0" applyFont="1" applyBorder="1" applyAlignment="1">
      <alignment horizontal="center" vertical="center"/>
    </xf>
    <xf numFmtId="9" fontId="11" fillId="11" borderId="23" xfId="0" applyNumberFormat="1" applyFont="1" applyFill="1" applyBorder="1" applyAlignment="1">
      <alignment horizontal="center" vertical="center"/>
    </xf>
    <xf numFmtId="0" fontId="8" fillId="0" borderId="34" xfId="0" applyFont="1" applyBorder="1" applyAlignment="1">
      <alignment horizontal="left" vertical="center"/>
    </xf>
    <xf numFmtId="0" fontId="8" fillId="0" borderId="46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/>
    </xf>
    <xf numFmtId="9" fontId="8" fillId="0" borderId="45" xfId="0" applyNumberFormat="1" applyFont="1" applyBorder="1" applyAlignment="1">
      <alignment horizontal="center" vertical="center"/>
    </xf>
    <xf numFmtId="0" fontId="8" fillId="0" borderId="34" xfId="0" applyFont="1" applyBorder="1" applyAlignment="1">
      <alignment horizontal="left" vertical="center" wrapText="1"/>
    </xf>
    <xf numFmtId="0" fontId="1" fillId="8" borderId="2" xfId="1" applyFill="1" applyBorder="1" applyAlignment="1" applyProtection="1">
      <alignment vertical="center"/>
    </xf>
    <xf numFmtId="0" fontId="11" fillId="9" borderId="0" xfId="0" applyFont="1" applyFill="1" applyAlignment="1">
      <alignment vertical="center"/>
    </xf>
    <xf numFmtId="0" fontId="22" fillId="9" borderId="0" xfId="0" applyFont="1" applyFill="1" applyAlignment="1">
      <alignment vertical="center"/>
    </xf>
    <xf numFmtId="0" fontId="1" fillId="8" borderId="1" xfId="1" applyFill="1" applyBorder="1" applyAlignment="1" applyProtection="1">
      <alignment vertical="center"/>
    </xf>
    <xf numFmtId="0" fontId="1" fillId="8" borderId="36" xfId="1" applyFill="1" applyBorder="1" applyAlignment="1" applyProtection="1">
      <alignment vertical="center"/>
    </xf>
    <xf numFmtId="0" fontId="1" fillId="8" borderId="3" xfId="1" applyFill="1" applyBorder="1" applyAlignment="1" applyProtection="1">
      <alignment vertical="center"/>
    </xf>
    <xf numFmtId="0" fontId="1" fillId="9" borderId="43" xfId="1" applyFill="1" applyBorder="1" applyAlignment="1" applyProtection="1">
      <alignment vertical="center"/>
    </xf>
    <xf numFmtId="0" fontId="1" fillId="9" borderId="44" xfId="1" applyFill="1" applyBorder="1" applyAlignment="1" applyProtection="1">
      <alignment vertical="center"/>
    </xf>
    <xf numFmtId="0" fontId="1" fillId="9" borderId="28" xfId="1" applyFill="1" applyBorder="1" applyAlignment="1" applyProtection="1">
      <alignment vertical="center"/>
    </xf>
    <xf numFmtId="0" fontId="1" fillId="0" borderId="5" xfId="1" applyBorder="1" applyAlignment="1" applyProtection="1">
      <alignment vertical="center"/>
    </xf>
    <xf numFmtId="0" fontId="1" fillId="9" borderId="6" xfId="1" applyFill="1" applyBorder="1" applyAlignment="1" applyProtection="1">
      <alignment vertical="center"/>
    </xf>
    <xf numFmtId="0" fontId="1" fillId="8" borderId="20" xfId="1" applyFill="1" applyBorder="1" applyAlignment="1" applyProtection="1">
      <alignment vertical="center"/>
    </xf>
    <xf numFmtId="0" fontId="1" fillId="8" borderId="22" xfId="1" applyFill="1" applyBorder="1" applyAlignment="1" applyProtection="1">
      <alignment vertical="center"/>
    </xf>
    <xf numFmtId="0" fontId="1" fillId="8" borderId="28" xfId="1" applyFill="1" applyBorder="1" applyAlignment="1" applyProtection="1">
      <alignment vertical="center"/>
    </xf>
    <xf numFmtId="0" fontId="1" fillId="8" borderId="24" xfId="1" applyFill="1" applyBorder="1" applyAlignment="1" applyProtection="1">
      <alignment vertical="center"/>
    </xf>
    <xf numFmtId="0" fontId="1" fillId="0" borderId="28" xfId="1" applyFill="1" applyBorder="1" applyAlignment="1" applyProtection="1">
      <alignment vertical="center"/>
    </xf>
    <xf numFmtId="0" fontId="1" fillId="9" borderId="2" xfId="1" applyFill="1" applyBorder="1" applyAlignment="1" applyProtection="1">
      <alignment vertical="center"/>
    </xf>
    <xf numFmtId="0" fontId="15" fillId="9" borderId="20" xfId="0" applyFont="1" applyFill="1" applyBorder="1" applyAlignment="1">
      <alignment vertical="center"/>
    </xf>
    <xf numFmtId="0" fontId="15" fillId="9" borderId="19" xfId="0" applyFont="1" applyFill="1" applyBorder="1" applyAlignment="1">
      <alignment horizontal="center" vertical="center"/>
    </xf>
    <xf numFmtId="0" fontId="1" fillId="9" borderId="20" xfId="1" applyFill="1" applyBorder="1" applyAlignment="1" applyProtection="1">
      <alignment vertical="center"/>
    </xf>
    <xf numFmtId="0" fontId="1" fillId="9" borderId="24" xfId="1" applyFill="1" applyBorder="1" applyAlignment="1" applyProtection="1">
      <alignment vertical="center"/>
    </xf>
    <xf numFmtId="0" fontId="15" fillId="8" borderId="56" xfId="0" applyFont="1" applyFill="1" applyBorder="1" applyAlignment="1">
      <alignment horizontal="center" vertical="center"/>
    </xf>
    <xf numFmtId="0" fontId="20" fillId="9" borderId="33" xfId="1" applyFont="1" applyFill="1" applyBorder="1" applyAlignment="1" applyProtection="1">
      <alignment vertical="center"/>
    </xf>
    <xf numFmtId="0" fontId="1" fillId="9" borderId="33" xfId="1" applyFill="1" applyBorder="1" applyAlignment="1" applyProtection="1">
      <alignment vertical="center"/>
    </xf>
    <xf numFmtId="0" fontId="15" fillId="8" borderId="23" xfId="0" applyFont="1" applyFill="1" applyBorder="1" applyAlignment="1">
      <alignment horizontal="left" vertical="center"/>
    </xf>
    <xf numFmtId="0" fontId="14" fillId="0" borderId="16" xfId="0" applyFont="1" applyBorder="1"/>
    <xf numFmtId="0" fontId="13" fillId="0" borderId="16" xfId="0" applyFont="1" applyBorder="1"/>
    <xf numFmtId="0" fontId="1" fillId="0" borderId="44" xfId="1" applyFill="1" applyBorder="1" applyAlignment="1" applyProtection="1">
      <alignment vertical="center"/>
    </xf>
    <xf numFmtId="0" fontId="14" fillId="0" borderId="16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4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9" fontId="11" fillId="5" borderId="34" xfId="0" applyNumberFormat="1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9" fontId="11" fillId="11" borderId="23" xfId="0" applyNumberFormat="1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0" fontId="8" fillId="0" borderId="34" xfId="0" applyFont="1" applyBorder="1" applyAlignment="1">
      <alignment horizontal="left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9" fontId="11" fillId="3" borderId="34" xfId="0" applyNumberFormat="1" applyFont="1" applyFill="1" applyBorder="1" applyAlignment="1">
      <alignment horizontal="center" vertical="center"/>
    </xf>
    <xf numFmtId="9" fontId="11" fillId="3" borderId="41" xfId="0" applyNumberFormat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0" borderId="41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41" xfId="0" applyFont="1" applyBorder="1" applyAlignment="1">
      <alignment horizontal="left" vertical="center"/>
    </xf>
    <xf numFmtId="0" fontId="8" fillId="0" borderId="47" xfId="0" applyFont="1" applyBorder="1" applyAlignment="1">
      <alignment horizontal="center" vertical="center"/>
    </xf>
    <xf numFmtId="9" fontId="11" fillId="3" borderId="23" xfId="0" applyNumberFormat="1" applyFont="1" applyFill="1" applyBorder="1" applyAlignment="1">
      <alignment horizontal="center" vertical="center"/>
    </xf>
    <xf numFmtId="9" fontId="11" fillId="3" borderId="26" xfId="0" applyNumberFormat="1" applyFont="1" applyFill="1" applyBorder="1" applyAlignment="1">
      <alignment horizontal="center" vertical="center"/>
    </xf>
    <xf numFmtId="9" fontId="11" fillId="5" borderId="23" xfId="0" applyNumberFormat="1" applyFont="1" applyFill="1" applyBorder="1" applyAlignment="1">
      <alignment horizontal="center" vertical="center"/>
    </xf>
    <xf numFmtId="9" fontId="11" fillId="5" borderId="26" xfId="0" applyNumberFormat="1" applyFont="1" applyFill="1" applyBorder="1" applyAlignment="1">
      <alignment horizontal="center" vertical="center"/>
    </xf>
    <xf numFmtId="0" fontId="4" fillId="0" borderId="53" xfId="0" applyFont="1" applyBorder="1" applyAlignment="1">
      <alignment horizontal="left"/>
    </xf>
    <xf numFmtId="0" fontId="4" fillId="0" borderId="16" xfId="0" applyFont="1" applyBorder="1" applyAlignment="1">
      <alignment horizontal="left"/>
    </xf>
    <xf numFmtId="0" fontId="4" fillId="0" borderId="50" xfId="0" applyFont="1" applyBorder="1" applyAlignment="1">
      <alignment horizontal="left"/>
    </xf>
    <xf numFmtId="0" fontId="0" fillId="0" borderId="29" xfId="0" applyBorder="1" applyAlignment="1">
      <alignment horizontal="left"/>
    </xf>
    <xf numFmtId="0" fontId="0" fillId="0" borderId="51" xfId="0" applyBorder="1" applyAlignment="1">
      <alignment horizontal="left"/>
    </xf>
    <xf numFmtId="0" fontId="4" fillId="0" borderId="54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55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5" fillId="2" borderId="4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4" fillId="0" borderId="25" xfId="0" applyFont="1" applyBorder="1" applyAlignment="1">
      <alignment horizontal="center"/>
    </xf>
    <xf numFmtId="0" fontId="4" fillId="0" borderId="48" xfId="0" applyFont="1" applyBorder="1" applyAlignment="1">
      <alignment horizontal="left"/>
    </xf>
    <xf numFmtId="0" fontId="4" fillId="0" borderId="12" xfId="0" applyFont="1" applyBorder="1" applyAlignment="1">
      <alignment horizontal="left"/>
    </xf>
    <xf numFmtId="0" fontId="4" fillId="0" borderId="4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5" fillId="2" borderId="52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15" fillId="9" borderId="30" xfId="0" applyFont="1" applyFill="1" applyBorder="1" applyAlignment="1">
      <alignment horizontal="left" vertical="center"/>
    </xf>
    <xf numFmtId="0" fontId="15" fillId="9" borderId="26" xfId="0" applyFont="1" applyFill="1" applyBorder="1" applyAlignment="1">
      <alignment horizontal="left" vertical="center"/>
    </xf>
    <xf numFmtId="0" fontId="15" fillId="8" borderId="20" xfId="0" applyFont="1" applyFill="1" applyBorder="1" applyAlignment="1">
      <alignment horizontal="left" vertical="center"/>
    </xf>
    <xf numFmtId="0" fontId="15" fillId="8" borderId="28" xfId="0" applyFont="1" applyFill="1" applyBorder="1" applyAlignment="1">
      <alignment horizontal="left" vertical="center"/>
    </xf>
    <xf numFmtId="0" fontId="15" fillId="8" borderId="56" xfId="0" applyFont="1" applyFill="1" applyBorder="1" applyAlignment="1">
      <alignment horizontal="left" vertical="center"/>
    </xf>
    <xf numFmtId="0" fontId="15" fillId="8" borderId="24" xfId="0" applyFont="1" applyFill="1" applyBorder="1" applyAlignment="1">
      <alignment horizontal="left" vertical="center"/>
    </xf>
    <xf numFmtId="0" fontId="15" fillId="8" borderId="30" xfId="0" applyFont="1" applyFill="1" applyBorder="1" applyAlignment="1">
      <alignment horizontal="left" vertical="center"/>
    </xf>
    <xf numFmtId="0" fontId="15" fillId="8" borderId="23" xfId="0" applyFont="1" applyFill="1" applyBorder="1" applyAlignment="1">
      <alignment horizontal="left" vertical="center"/>
    </xf>
    <xf numFmtId="0" fontId="15" fillId="8" borderId="26" xfId="0" applyFont="1" applyFill="1" applyBorder="1" applyAlignment="1">
      <alignment horizontal="left" vertical="center"/>
    </xf>
    <xf numFmtId="0" fontId="15" fillId="9" borderId="22" xfId="0" applyFont="1" applyFill="1" applyBorder="1" applyAlignment="1">
      <alignment horizontal="left" vertical="center"/>
    </xf>
    <xf numFmtId="0" fontId="15" fillId="9" borderId="28" xfId="0" applyFont="1" applyFill="1" applyBorder="1" applyAlignment="1">
      <alignment horizontal="left" vertical="center"/>
    </xf>
    <xf numFmtId="0" fontId="15" fillId="9" borderId="23" xfId="0" applyFont="1" applyFill="1" applyBorder="1" applyAlignment="1">
      <alignment horizontal="left" vertical="center"/>
    </xf>
    <xf numFmtId="0" fontId="14" fillId="0" borderId="16" xfId="0" applyFont="1" applyBorder="1" applyAlignment="1"/>
    <xf numFmtId="0" fontId="0" fillId="0" borderId="16" xfId="0" applyBorder="1" applyAlignment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723899</xdr:colOff>
      <xdr:row>20</xdr:row>
      <xdr:rowOff>19050</xdr:rowOff>
    </xdr:from>
    <xdr:to>
      <xdr:col>7</xdr:col>
      <xdr:colOff>723899</xdr:colOff>
      <xdr:row>22</xdr:row>
      <xdr:rowOff>225413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9" y="4972050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647699</xdr:colOff>
      <xdr:row>15</xdr:row>
      <xdr:rowOff>1</xdr:rowOff>
    </xdr:from>
    <xdr:to>
      <xdr:col>7</xdr:col>
      <xdr:colOff>723899</xdr:colOff>
      <xdr:row>17</xdr:row>
      <xdr:rowOff>237785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2799" y="3714751"/>
          <a:ext cx="1438275" cy="736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22</xdr:row>
      <xdr:rowOff>28575</xdr:rowOff>
    </xdr:from>
    <xdr:to>
      <xdr:col>7</xdr:col>
      <xdr:colOff>685800</xdr:colOff>
      <xdr:row>24</xdr:row>
      <xdr:rowOff>231128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5324475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15</xdr:row>
      <xdr:rowOff>19050</xdr:rowOff>
    </xdr:from>
    <xdr:to>
      <xdr:col>7</xdr:col>
      <xdr:colOff>685800</xdr:colOff>
      <xdr:row>17</xdr:row>
      <xdr:rowOff>225413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3581400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21</xdr:row>
      <xdr:rowOff>19050</xdr:rowOff>
    </xdr:from>
    <xdr:to>
      <xdr:col>7</xdr:col>
      <xdr:colOff>695325</xdr:colOff>
      <xdr:row>23</xdr:row>
      <xdr:rowOff>221603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5029200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561975</xdr:colOff>
      <xdr:row>16</xdr:row>
      <xdr:rowOff>38100</xdr:rowOff>
    </xdr:from>
    <xdr:to>
      <xdr:col>7</xdr:col>
      <xdr:colOff>680085</xdr:colOff>
      <xdr:row>18</xdr:row>
      <xdr:rowOff>236843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848100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www.erste-am.cz/cs/privatni-investori/funds/espa-portfolio-bond-europe/AT0000858527" TargetMode="External"/><Relationship Id="rId7" Type="http://schemas.openxmlformats.org/officeDocument/2006/relationships/hyperlink" Target="https://www.erste-am.cz/cs/privatni-investori/funds/espa-stock-europe-property/AT0000708334" TargetMode="External"/><Relationship Id="rId2" Type="http://schemas.openxmlformats.org/officeDocument/2006/relationships/hyperlink" Target="http://www.bnpparibas-ip.cz/en-cz/intermediary-fund-selector/fundsheet/fixed-income/parvest-bond-euro-government-classic-c-lu0111548326/" TargetMode="External"/><Relationship Id="rId1" Type="http://schemas.openxmlformats.org/officeDocument/2006/relationships/hyperlink" Target="https://www.fidelity.cz/fondy-a-ceny/factsheet/LU0605515377" TargetMode="External"/><Relationship Id="rId6" Type="http://schemas.openxmlformats.org/officeDocument/2006/relationships/hyperlink" Target="https://www.erste-am.cz/cs/privatni-investori/funds/espa-stock-biotec/AT0000746748" TargetMode="External"/><Relationship Id="rId5" Type="http://schemas.openxmlformats.org/officeDocument/2006/relationships/hyperlink" Target="http://www.franklintempleton.cz/cs-cz/advisor/fondy/fund-detail/14446/Franklin-European-Corporate-Bond-Fund" TargetMode="External"/><Relationship Id="rId4" Type="http://schemas.openxmlformats.org/officeDocument/2006/relationships/hyperlink" Target="https://www.nnip.com/CZ_cs/private/Fondy/Prehled-fondu/view/name/NN-L-Euro-Fixed-Income-P-Cap-EUR/isin/LU0546917773.htm" TargetMode="Externa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rste-am.cz/cs/privatni-investori/funds/espa-portfolio-bond-europe/AT0000858527" TargetMode="External"/><Relationship Id="rId7" Type="http://schemas.openxmlformats.org/officeDocument/2006/relationships/drawing" Target="../drawings/drawing2.xml"/><Relationship Id="rId2" Type="http://schemas.openxmlformats.org/officeDocument/2006/relationships/hyperlink" Target="http://www.franklintempleton.cz/cs-cz/advisor/fondy/fund-detail/14446/Franklin-European-Corporate-Bond-Fund" TargetMode="External"/><Relationship Id="rId1" Type="http://schemas.openxmlformats.org/officeDocument/2006/relationships/hyperlink" Target="http://www.bnpparibas-ip.cz/en-cz/intermediary-fund-selector/fundsheet/fixed-income/parvest-bond-euro-government-classic-c-lu0111548326/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https://www.nnip.com/CZ_cs/private/Fondy/Prehled-fondu/view/name/NN-L-Euro-Fixed-Income-P-Cap-EUR/isin/LU0546917773.htm" TargetMode="External"/><Relationship Id="rId4" Type="http://schemas.openxmlformats.org/officeDocument/2006/relationships/hyperlink" Target="https://www.fidelity.cz/fondy-a-ceny/factsheet/LU0605515377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www.bnpparibas-ip.cz/en-cz/intermediary-fund-selector/fundsheet/fixed-income/parvest-bond-euro-government-classic-c-lu0111548326/" TargetMode="External"/><Relationship Id="rId3" Type="http://schemas.openxmlformats.org/officeDocument/2006/relationships/hyperlink" Target="https://www.nnip.com/CZ_cs/private/Fondy/Prehled-fondu/view/name/NN-L-Euro-Fixed-Income-P-Cap-EUR/isin/LU0546917773.htm" TargetMode="External"/><Relationship Id="rId7" Type="http://schemas.openxmlformats.org/officeDocument/2006/relationships/hyperlink" Target="https://www.erste-am.cz/cs/privatni-investori/funds/espa-stock-europe-property/AT0000708334" TargetMode="External"/><Relationship Id="rId2" Type="http://schemas.openxmlformats.org/officeDocument/2006/relationships/hyperlink" Target="https://www.fidelity.cz/fondy-a-ceny/factsheet/LU0605515377" TargetMode="External"/><Relationship Id="rId1" Type="http://schemas.openxmlformats.org/officeDocument/2006/relationships/hyperlink" Target="http://www.franklintempleton.cz/cs-cz/advisor/fondy/fund-detail/14446/Franklin-European-Corporate-Bond-Fund" TargetMode="External"/><Relationship Id="rId6" Type="http://schemas.openxmlformats.org/officeDocument/2006/relationships/hyperlink" Target="https://www.erste-am.cz/cs/privatni-investori/funds/espa-stock-biotec/AT0000746748" TargetMode="External"/><Relationship Id="rId11" Type="http://schemas.openxmlformats.org/officeDocument/2006/relationships/drawing" Target="../drawings/drawing3.xml"/><Relationship Id="rId5" Type="http://schemas.openxmlformats.org/officeDocument/2006/relationships/hyperlink" Target="https://www.erste-am.cz/cs/privatni-investori/funds/espa-stock-global-emerging-markets/AT0000680962" TargetMode="External"/><Relationship Id="rId10" Type="http://schemas.openxmlformats.org/officeDocument/2006/relationships/printerSettings" Target="../printerSettings/printerSettings4.bin"/><Relationship Id="rId4" Type="http://schemas.openxmlformats.org/officeDocument/2006/relationships/hyperlink" Target="https://www.erste-am.cz/cs/privatni-investori/funds/espa-bond-europe-high-yield/AT0000805676" TargetMode="External"/><Relationship Id="rId9" Type="http://schemas.openxmlformats.org/officeDocument/2006/relationships/hyperlink" Target="https://www.erste-am.cz/cs/privatni-investori/funds/espa-portfolio-bond-europe/AT000085852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4.xml"/><Relationship Id="rId3" Type="http://schemas.openxmlformats.org/officeDocument/2006/relationships/hyperlink" Target="http://www.franklintempleton.cz/cs-cz/advisor/fondy/fund-detail/14446/Franklin-European-Corporate-Bond-Fund" TargetMode="External"/><Relationship Id="rId7" Type="http://schemas.openxmlformats.org/officeDocument/2006/relationships/printerSettings" Target="../printerSettings/printerSettings5.bin"/><Relationship Id="rId2" Type="http://schemas.openxmlformats.org/officeDocument/2006/relationships/hyperlink" Target="https://www.erste-am.cz/cs/privatni-investori/funds/espa-bond-europe-high-yield/AT0000805676" TargetMode="External"/><Relationship Id="rId1" Type="http://schemas.openxmlformats.org/officeDocument/2006/relationships/hyperlink" Target="https://www.nnip.com/CZ_cs/private/Fondy/Prehled-fondu/view/name/NN-L-Euro-Fixed-Income-P-Cap-EUR/isin/LU0546917773.htm" TargetMode="External"/><Relationship Id="rId6" Type="http://schemas.openxmlformats.org/officeDocument/2006/relationships/hyperlink" Target="https://www.erste-am.cz/cs/privatni-investori/funds/espa-portfolio-bond-europe/AT0000858527" TargetMode="External"/><Relationship Id="rId5" Type="http://schemas.openxmlformats.org/officeDocument/2006/relationships/hyperlink" Target="https://www.fidelity.cz/fondy-a-ceny/factsheet/LU0605515377" TargetMode="External"/><Relationship Id="rId4" Type="http://schemas.openxmlformats.org/officeDocument/2006/relationships/hyperlink" Target="http://www.bnpparibas-ip.cz/en-cz/intermediary-fund-selector/fundsheet/fixed-income/parvest-bond-euro-government-classic-c-lu0111548326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6.bin"/><Relationship Id="rId3" Type="http://schemas.openxmlformats.org/officeDocument/2006/relationships/hyperlink" Target="https://www.erste-am.cz/cs/privatni-investori/funds/espa-bond-europe-high-yield/AT0000805676" TargetMode="External"/><Relationship Id="rId7" Type="http://schemas.openxmlformats.org/officeDocument/2006/relationships/hyperlink" Target="https://www.erste-am.cz/cs/privatni-investori/funds/espa-stock-europe-property/AT0000708334" TargetMode="External"/><Relationship Id="rId2" Type="http://schemas.openxmlformats.org/officeDocument/2006/relationships/hyperlink" Target="https://www.erste-am.cz/cs/privatni-investori/funds/espa-portfolio-bond-europe/AT0000858527" TargetMode="External"/><Relationship Id="rId1" Type="http://schemas.openxmlformats.org/officeDocument/2006/relationships/hyperlink" Target="http://www.franklintempleton.cz/cs-cz/advisor/fondy/fund-detail/14446/Franklin-European-Corporate-Bond-Fund" TargetMode="External"/><Relationship Id="rId6" Type="http://schemas.openxmlformats.org/officeDocument/2006/relationships/hyperlink" Target="https://www.erste-am.cz/cs/privatni-investori/funds/espa-stock-global-emerging-markets/AT0000680962" TargetMode="External"/><Relationship Id="rId5" Type="http://schemas.openxmlformats.org/officeDocument/2006/relationships/hyperlink" Target="https://www.erste-am.cz/cs/privatni-investori/funds/espa-stock-biotec/AT0000746748" TargetMode="External"/><Relationship Id="rId4" Type="http://schemas.openxmlformats.org/officeDocument/2006/relationships/hyperlink" Target="https://www.fidelity.cz/fondy-a-ceny/factsheet/LU0605515377" TargetMode="External"/><Relationship Id="rId9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6.xml"/><Relationship Id="rId3" Type="http://schemas.openxmlformats.org/officeDocument/2006/relationships/hyperlink" Target="http://www.franklintempleton.cz/cs-cz/advisor/fondy/fund-detail/14446/Franklin-European-Corporate-Bond-Fund" TargetMode="External"/><Relationship Id="rId7" Type="http://schemas.openxmlformats.org/officeDocument/2006/relationships/printerSettings" Target="../printerSettings/printerSettings7.bin"/><Relationship Id="rId2" Type="http://schemas.openxmlformats.org/officeDocument/2006/relationships/hyperlink" Target="http://www.bnpparibas-ip.cz/en-cz/intermediary-fund-selector/fundsheet/fixed-income/parvest-bond-euro-government-classic-c-lu0111548326/" TargetMode="External"/><Relationship Id="rId1" Type="http://schemas.openxmlformats.org/officeDocument/2006/relationships/hyperlink" Target="https://www.erste-am.cz/cs/privatni-investori/funds/espa-portfolio-bond-europe/AT0000858527" TargetMode="External"/><Relationship Id="rId6" Type="http://schemas.openxmlformats.org/officeDocument/2006/relationships/hyperlink" Target="https://www.fidelity.cz/fondy-a-ceny/factsheet/LU0605515377" TargetMode="External"/><Relationship Id="rId5" Type="http://schemas.openxmlformats.org/officeDocument/2006/relationships/hyperlink" Target="https://www.erste-am.cz/cs/privatni-investori/funds/espa-bond-europe-high-yield/AT0000805676" TargetMode="External"/><Relationship Id="rId4" Type="http://schemas.openxmlformats.org/officeDocument/2006/relationships/hyperlink" Target="https://www.nnip.com/CZ_cs/private/Fondy/Prehled-fondu/view/name/NN-L-Euro-Fixed-Income-P-Cap-EUR/isin/LU0546917773.htm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8"/>
  <sheetViews>
    <sheetView tabSelected="1" workbookViewId="0"/>
  </sheetViews>
  <sheetFormatPr defaultColWidth="9.140625" defaultRowHeight="15"/>
  <cols>
    <col min="1" max="5" width="9.140625" style="41"/>
    <col min="6" max="6" width="13.42578125" style="41" customWidth="1"/>
    <col min="7" max="16384" width="9.140625" style="41"/>
  </cols>
  <sheetData>
    <row r="3" spans="2:15">
      <c r="B3" s="185" t="s">
        <v>0</v>
      </c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</row>
    <row r="4" spans="2:15"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</row>
    <row r="5" spans="2:15">
      <c r="B5" s="186"/>
      <c r="C5" s="186"/>
      <c r="D5" s="186"/>
      <c r="E5" s="186"/>
      <c r="F5" s="186"/>
      <c r="G5" s="186"/>
      <c r="H5" s="186"/>
      <c r="I5" s="186"/>
      <c r="J5" s="186"/>
      <c r="K5" s="186"/>
      <c r="L5" s="186"/>
      <c r="M5" s="186"/>
      <c r="N5" s="186"/>
      <c r="O5" s="186"/>
    </row>
    <row r="6" spans="2:15">
      <c r="B6" s="186"/>
      <c r="C6" s="186"/>
      <c r="D6" s="186"/>
      <c r="E6" s="186"/>
      <c r="F6" s="186"/>
      <c r="G6" s="186"/>
      <c r="H6" s="186"/>
      <c r="I6" s="186"/>
      <c r="J6" s="186"/>
      <c r="K6" s="186"/>
      <c r="L6" s="186"/>
      <c r="M6" s="186"/>
      <c r="N6" s="186"/>
      <c r="O6" s="186"/>
    </row>
    <row r="7" spans="2:15" ht="18.75">
      <c r="B7" s="182" t="s">
        <v>1</v>
      </c>
      <c r="C7" s="182"/>
      <c r="D7" s="182"/>
      <c r="E7" s="182"/>
      <c r="F7" s="182"/>
      <c r="G7" s="243" t="s">
        <v>2</v>
      </c>
      <c r="H7" s="244"/>
      <c r="I7" s="244"/>
      <c r="J7" s="244"/>
      <c r="K7" s="244"/>
      <c r="L7" s="244"/>
      <c r="M7" s="244"/>
      <c r="N7" s="244"/>
      <c r="O7" s="244"/>
    </row>
    <row r="8" spans="2:15" ht="18.75">
      <c r="B8" s="182" t="s">
        <v>3</v>
      </c>
      <c r="C8" s="183"/>
      <c r="D8" s="183"/>
      <c r="E8" s="183"/>
      <c r="F8" s="183"/>
      <c r="G8" s="243" t="s">
        <v>4</v>
      </c>
      <c r="H8" s="244"/>
      <c r="I8" s="244"/>
      <c r="J8" s="244"/>
      <c r="K8" s="244"/>
      <c r="L8" s="244"/>
      <c r="M8" s="244"/>
      <c r="N8" s="244"/>
      <c r="O8" s="244"/>
    </row>
  </sheetData>
  <mergeCells count="3">
    <mergeCell ref="B3:O6"/>
    <mergeCell ref="G7:O7"/>
    <mergeCell ref="G8:O8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0"/>
  <sheetViews>
    <sheetView topLeftCell="B1" workbookViewId="0">
      <selection activeCell="E6" sqref="E6"/>
    </sheetView>
  </sheetViews>
  <sheetFormatPr defaultColWidth="9.140625" defaultRowHeight="20.100000000000001" customHeight="1"/>
  <cols>
    <col min="1" max="2" width="9.140625" style="16"/>
    <col min="3" max="3" width="33.28515625" style="16" bestFit="1" customWidth="1"/>
    <col min="4" max="4" width="9.140625" style="16"/>
    <col min="5" max="5" width="37" style="16" bestFit="1" customWidth="1"/>
    <col min="6" max="6" width="11.28515625" style="16" bestFit="1" customWidth="1"/>
    <col min="7" max="7" width="9.140625" style="16"/>
    <col min="8" max="8" width="10.85546875" style="16" customWidth="1"/>
    <col min="9" max="9" width="3.85546875" style="16" customWidth="1"/>
    <col min="10" max="10" width="11.42578125" style="16" customWidth="1"/>
    <col min="11" max="16384" width="9.140625" style="16"/>
  </cols>
  <sheetData>
    <row r="1" spans="2:10" ht="20.100000000000001" customHeight="1">
      <c r="B1" s="187" t="s">
        <v>5</v>
      </c>
      <c r="C1" s="187"/>
      <c r="D1" s="187"/>
      <c r="E1" s="187"/>
      <c r="F1" s="187"/>
      <c r="G1" s="187"/>
      <c r="H1" s="187"/>
    </row>
    <row r="2" spans="2:10" ht="20.100000000000001" customHeight="1" thickBot="1">
      <c r="B2" s="188"/>
      <c r="C2" s="188"/>
      <c r="D2" s="188"/>
      <c r="E2" s="188"/>
      <c r="F2" s="188"/>
      <c r="G2" s="188"/>
      <c r="H2" s="188"/>
    </row>
    <row r="3" spans="2:10" ht="20.100000000000001" customHeight="1" thickBot="1">
      <c r="B3" s="193" t="s">
        <v>6</v>
      </c>
      <c r="C3" s="194"/>
      <c r="D3" s="194"/>
      <c r="E3" s="195"/>
      <c r="F3" s="44" t="s">
        <v>7</v>
      </c>
      <c r="G3" s="44" t="s">
        <v>8</v>
      </c>
      <c r="H3" s="17" t="s">
        <v>9</v>
      </c>
      <c r="J3" s="104" t="s">
        <v>10</v>
      </c>
    </row>
    <row r="4" spans="2:10" ht="20.100000000000001" customHeight="1" thickBot="1">
      <c r="B4" s="18" t="s">
        <v>11</v>
      </c>
      <c r="C4" s="13"/>
      <c r="D4" s="19"/>
      <c r="E4" s="13"/>
      <c r="F4" s="19"/>
      <c r="G4" s="13"/>
      <c r="H4" s="100"/>
      <c r="J4" s="107"/>
    </row>
    <row r="5" spans="2:10" ht="20.100000000000001" customHeight="1" thickBot="1">
      <c r="B5" s="200">
        <v>0.7</v>
      </c>
      <c r="C5" s="153" t="s">
        <v>12</v>
      </c>
      <c r="D5" s="149" t="s">
        <v>13</v>
      </c>
      <c r="E5" s="45"/>
      <c r="F5" s="42"/>
      <c r="G5" s="45"/>
      <c r="H5" s="54">
        <f>E20*G5</f>
        <v>0</v>
      </c>
      <c r="J5" s="107"/>
    </row>
    <row r="6" spans="2:10" ht="20.100000000000001" customHeight="1">
      <c r="B6" s="200"/>
      <c r="C6" s="196" t="s">
        <v>14</v>
      </c>
      <c r="D6" s="198" t="s">
        <v>15</v>
      </c>
      <c r="E6" s="23" t="s">
        <v>16</v>
      </c>
      <c r="F6" s="24" t="s">
        <v>17</v>
      </c>
      <c r="G6" s="12">
        <v>0.2</v>
      </c>
      <c r="H6" s="52">
        <v>20000</v>
      </c>
      <c r="J6" s="107" t="s">
        <v>18</v>
      </c>
    </row>
    <row r="7" spans="2:10" ht="20.100000000000001" customHeight="1" thickBot="1">
      <c r="B7" s="200"/>
      <c r="C7" s="197"/>
      <c r="D7" s="199"/>
      <c r="E7" s="38" t="s">
        <v>19</v>
      </c>
      <c r="F7" s="39" t="s">
        <v>20</v>
      </c>
      <c r="G7" s="40">
        <v>0.3</v>
      </c>
      <c r="H7" s="53">
        <f>E20*G7</f>
        <v>30000</v>
      </c>
      <c r="J7" s="107" t="s">
        <v>21</v>
      </c>
    </row>
    <row r="8" spans="2:10" ht="20.100000000000001" customHeight="1">
      <c r="B8" s="200"/>
      <c r="C8" s="202" t="s">
        <v>22</v>
      </c>
      <c r="D8" s="204" t="s">
        <v>23</v>
      </c>
      <c r="E8" s="116" t="s">
        <v>24</v>
      </c>
      <c r="F8" s="24" t="s">
        <v>25</v>
      </c>
      <c r="G8" s="12">
        <v>0.1</v>
      </c>
      <c r="H8" s="52">
        <f>E20*G8</f>
        <v>10000</v>
      </c>
      <c r="J8" s="107" t="s">
        <v>26</v>
      </c>
    </row>
    <row r="9" spans="2:10" ht="20.100000000000001" customHeight="1" thickBot="1">
      <c r="B9" s="201"/>
      <c r="C9" s="203"/>
      <c r="D9" s="205"/>
      <c r="E9" s="117" t="s">
        <v>27</v>
      </c>
      <c r="F9" s="118" t="s">
        <v>28</v>
      </c>
      <c r="G9" s="98">
        <v>0.1</v>
      </c>
      <c r="H9" s="119">
        <f>E20*G9</f>
        <v>10000</v>
      </c>
      <c r="J9" s="107" t="s">
        <v>29</v>
      </c>
    </row>
    <row r="10" spans="2:10" ht="20.100000000000001" customHeight="1" thickBot="1">
      <c r="B10" s="20" t="s">
        <v>30</v>
      </c>
      <c r="C10" s="14"/>
      <c r="D10" s="21"/>
      <c r="E10" s="14"/>
      <c r="F10" s="22"/>
      <c r="G10" s="14"/>
      <c r="H10" s="101"/>
      <c r="J10" s="107"/>
    </row>
    <row r="11" spans="2:10" ht="20.100000000000001" customHeight="1">
      <c r="B11" s="192">
        <v>0.2</v>
      </c>
      <c r="C11" s="196" t="s">
        <v>31</v>
      </c>
      <c r="D11" s="198" t="s">
        <v>32</v>
      </c>
      <c r="E11" s="23" t="s">
        <v>33</v>
      </c>
      <c r="F11" s="24" t="s">
        <v>34</v>
      </c>
      <c r="G11" s="12">
        <v>0.16</v>
      </c>
      <c r="H11" s="52">
        <f>E20*G11</f>
        <v>16000</v>
      </c>
      <c r="J11" s="107" t="s">
        <v>35</v>
      </c>
    </row>
    <row r="12" spans="2:10" ht="20.100000000000001" customHeight="1" thickBot="1">
      <c r="B12" s="192"/>
      <c r="C12" s="206"/>
      <c r="D12" s="207"/>
      <c r="E12" s="96" t="s">
        <v>36</v>
      </c>
      <c r="F12" s="97" t="s">
        <v>37</v>
      </c>
      <c r="G12" s="98">
        <v>0.04</v>
      </c>
      <c r="H12" s="99">
        <f>E20*G12</f>
        <v>4000</v>
      </c>
      <c r="J12" s="107" t="s">
        <v>38</v>
      </c>
    </row>
    <row r="13" spans="2:10" ht="20.100000000000001" customHeight="1" thickBot="1">
      <c r="B13" s="192"/>
      <c r="C13" s="154" t="s">
        <v>39</v>
      </c>
      <c r="D13" s="149" t="s">
        <v>40</v>
      </c>
      <c r="E13" s="45"/>
      <c r="F13" s="42"/>
      <c r="G13" s="43">
        <v>0</v>
      </c>
      <c r="H13" s="54">
        <f>E20*G13</f>
        <v>0</v>
      </c>
      <c r="J13" s="107"/>
    </row>
    <row r="14" spans="2:10" ht="20.100000000000001" customHeight="1" thickBot="1">
      <c r="B14" s="30" t="s">
        <v>41</v>
      </c>
      <c r="C14" s="15"/>
      <c r="D14" s="31"/>
      <c r="E14" s="15"/>
      <c r="F14" s="32"/>
      <c r="G14" s="15"/>
      <c r="H14" s="102"/>
      <c r="J14" s="107"/>
    </row>
    <row r="15" spans="2:10" ht="20.100000000000001" customHeight="1" thickBot="1">
      <c r="B15" s="189">
        <v>0.1</v>
      </c>
      <c r="C15" s="25" t="s">
        <v>42</v>
      </c>
      <c r="D15" s="26" t="s">
        <v>13</v>
      </c>
      <c r="E15" s="27" t="s">
        <v>43</v>
      </c>
      <c r="F15" s="28" t="s">
        <v>44</v>
      </c>
      <c r="G15" s="29">
        <v>0.1</v>
      </c>
      <c r="H15" s="56">
        <f>E20*G15</f>
        <v>10000</v>
      </c>
      <c r="J15" s="107" t="s">
        <v>45</v>
      </c>
    </row>
    <row r="16" spans="2:10" ht="20.100000000000001" customHeight="1" thickBot="1">
      <c r="B16" s="189"/>
      <c r="C16" s="151" t="s">
        <v>46</v>
      </c>
      <c r="D16" s="152" t="s">
        <v>13</v>
      </c>
      <c r="E16" s="33"/>
      <c r="F16" s="46"/>
      <c r="G16" s="47">
        <v>0</v>
      </c>
      <c r="H16" s="55">
        <v>0</v>
      </c>
      <c r="J16" s="107"/>
    </row>
    <row r="17" spans="2:10" ht="20.100000000000001" customHeight="1" thickBot="1">
      <c r="B17" s="189"/>
      <c r="C17" s="25" t="s">
        <v>47</v>
      </c>
      <c r="D17" s="26" t="s">
        <v>13</v>
      </c>
      <c r="E17" s="27"/>
      <c r="F17" s="28"/>
      <c r="G17" s="29">
        <v>0</v>
      </c>
      <c r="H17" s="56">
        <f>E20*G17</f>
        <v>0</v>
      </c>
      <c r="J17" s="107"/>
    </row>
    <row r="18" spans="2:10" ht="20.100000000000001" customHeight="1" thickBot="1">
      <c r="B18" s="190" t="s">
        <v>48</v>
      </c>
      <c r="C18" s="191"/>
      <c r="D18" s="34"/>
      <c r="E18" s="35"/>
      <c r="F18" s="34"/>
      <c r="G18" s="36">
        <f>SUM(G5:G17)</f>
        <v>1</v>
      </c>
      <c r="H18" s="103">
        <f>SUM(H5:H17)</f>
        <v>100000</v>
      </c>
      <c r="J18" s="107"/>
    </row>
    <row r="20" spans="2:10" ht="20.100000000000001" customHeight="1">
      <c r="C20" s="50" t="s">
        <v>49</v>
      </c>
      <c r="E20" s="51">
        <v>100000</v>
      </c>
    </row>
  </sheetData>
  <mergeCells count="12">
    <mergeCell ref="B1:H2"/>
    <mergeCell ref="B15:B17"/>
    <mergeCell ref="B18:C18"/>
    <mergeCell ref="B11:B13"/>
    <mergeCell ref="B3:E3"/>
    <mergeCell ref="C6:C7"/>
    <mergeCell ref="D6:D7"/>
    <mergeCell ref="B5:B9"/>
    <mergeCell ref="C8:C9"/>
    <mergeCell ref="D8:D9"/>
    <mergeCell ref="C11:C12"/>
    <mergeCell ref="D11:D12"/>
  </mergeCells>
  <hyperlinks>
    <hyperlink ref="J11" r:id="rId1" xr:uid="{00000000-0004-0000-0100-000000000000}"/>
    <hyperlink ref="J6" r:id="rId2" xr:uid="{00000000-0004-0000-0100-000001000000}"/>
    <hyperlink ref="J7" r:id="rId3" xr:uid="{00000000-0004-0000-0100-000002000000}"/>
    <hyperlink ref="J9" r:id="rId4" xr:uid="{00000000-0004-0000-0100-000003000000}"/>
    <hyperlink ref="J8" r:id="rId5" xr:uid="{00000000-0004-0000-0100-000004000000}"/>
    <hyperlink ref="J12" r:id="rId6" xr:uid="{00000000-0004-0000-0100-000005000000}"/>
    <hyperlink ref="J15" r:id="rId7" xr:uid="{00000000-0004-0000-0100-000006000000}"/>
  </hyperlinks>
  <pageMargins left="0.7" right="0.7" top="0.75" bottom="0.75" header="0.3" footer="0.3"/>
  <pageSetup paperSize="9" orientation="landscape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4"/>
  <sheetViews>
    <sheetView workbookViewId="0">
      <selection activeCell="E6" sqref="E6"/>
    </sheetView>
  </sheetViews>
  <sheetFormatPr defaultColWidth="9.140625" defaultRowHeight="20.100000000000001" customHeight="1"/>
  <cols>
    <col min="1" max="2" width="9.140625" style="16"/>
    <col min="3" max="3" width="33.28515625" style="16" bestFit="1" customWidth="1"/>
    <col min="4" max="4" width="9.140625" style="16"/>
    <col min="5" max="5" width="37" style="16" bestFit="1" customWidth="1"/>
    <col min="6" max="6" width="11.28515625" style="16" bestFit="1" customWidth="1"/>
    <col min="7" max="7" width="9.140625" style="16"/>
    <col min="8" max="8" width="10.85546875" style="16" customWidth="1"/>
    <col min="9" max="9" width="3.85546875" style="16" customWidth="1"/>
    <col min="10" max="10" width="11.42578125" style="16" customWidth="1"/>
    <col min="11" max="16384" width="9.140625" style="16"/>
  </cols>
  <sheetData>
    <row r="1" spans="2:10" ht="20.100000000000001" customHeight="1">
      <c r="B1" s="187" t="s">
        <v>5</v>
      </c>
      <c r="C1" s="187"/>
      <c r="D1" s="187"/>
      <c r="E1" s="187"/>
      <c r="F1" s="187"/>
      <c r="G1" s="187"/>
      <c r="H1" s="187"/>
    </row>
    <row r="2" spans="2:10" ht="20.100000000000001" customHeight="1" thickBot="1">
      <c r="B2" s="188"/>
      <c r="C2" s="188"/>
      <c r="D2" s="188"/>
      <c r="E2" s="188"/>
      <c r="F2" s="188"/>
      <c r="G2" s="188"/>
      <c r="H2" s="188"/>
    </row>
    <row r="3" spans="2:10" ht="20.100000000000001" customHeight="1" thickBot="1">
      <c r="B3" s="193" t="s">
        <v>50</v>
      </c>
      <c r="C3" s="194"/>
      <c r="D3" s="194"/>
      <c r="E3" s="195"/>
      <c r="F3" s="44" t="s">
        <v>7</v>
      </c>
      <c r="G3" s="44" t="s">
        <v>8</v>
      </c>
      <c r="H3" s="17" t="s">
        <v>9</v>
      </c>
      <c r="J3" s="104" t="s">
        <v>10</v>
      </c>
    </row>
    <row r="4" spans="2:10" ht="20.100000000000001" customHeight="1" thickBot="1">
      <c r="B4" s="18" t="s">
        <v>11</v>
      </c>
      <c r="C4" s="13"/>
      <c r="D4" s="19"/>
      <c r="E4" s="13"/>
      <c r="F4" s="19"/>
      <c r="G4" s="13"/>
      <c r="H4" s="100"/>
      <c r="J4" s="158"/>
    </row>
    <row r="5" spans="2:10" ht="20.100000000000001" customHeight="1" thickBot="1">
      <c r="B5" s="208">
        <v>0.9</v>
      </c>
      <c r="C5" s="153" t="s">
        <v>12</v>
      </c>
      <c r="D5" s="149" t="s">
        <v>13</v>
      </c>
      <c r="E5" s="45"/>
      <c r="F5" s="42"/>
      <c r="G5" s="12">
        <v>0</v>
      </c>
      <c r="H5" s="54">
        <f>E14*G5</f>
        <v>0</v>
      </c>
      <c r="J5" s="107"/>
    </row>
    <row r="6" spans="2:10" ht="20.100000000000001" customHeight="1">
      <c r="B6" s="208"/>
      <c r="C6" s="196" t="s">
        <v>14</v>
      </c>
      <c r="D6" s="198" t="s">
        <v>51</v>
      </c>
      <c r="E6" s="23" t="s">
        <v>16</v>
      </c>
      <c r="F6" s="24" t="s">
        <v>17</v>
      </c>
      <c r="G6" s="12">
        <v>0.3</v>
      </c>
      <c r="H6" s="52">
        <f>E14*G6</f>
        <v>30000</v>
      </c>
      <c r="J6" s="107" t="s">
        <v>18</v>
      </c>
    </row>
    <row r="7" spans="2:10" ht="20.100000000000001" customHeight="1" thickBot="1">
      <c r="B7" s="208"/>
      <c r="C7" s="206"/>
      <c r="D7" s="207"/>
      <c r="E7" s="38" t="s">
        <v>19</v>
      </c>
      <c r="F7" s="39" t="s">
        <v>20</v>
      </c>
      <c r="G7" s="40">
        <v>0.4</v>
      </c>
      <c r="H7" s="53">
        <f>E14*G7</f>
        <v>40000</v>
      </c>
      <c r="J7" s="107" t="s">
        <v>21</v>
      </c>
    </row>
    <row r="8" spans="2:10" ht="20.100000000000001" customHeight="1">
      <c r="B8" s="208"/>
      <c r="C8" s="202" t="s">
        <v>22</v>
      </c>
      <c r="D8" s="198" t="s">
        <v>52</v>
      </c>
      <c r="E8" s="116" t="s">
        <v>24</v>
      </c>
      <c r="F8" s="120" t="s">
        <v>25</v>
      </c>
      <c r="G8" s="12">
        <v>0.1</v>
      </c>
      <c r="H8" s="52">
        <f>E14*G8</f>
        <v>10000</v>
      </c>
      <c r="J8" s="107" t="s">
        <v>26</v>
      </c>
    </row>
    <row r="9" spans="2:10" ht="20.100000000000001" customHeight="1" thickBot="1">
      <c r="B9" s="209"/>
      <c r="C9" s="203"/>
      <c r="D9" s="207"/>
      <c r="E9" s="121" t="s">
        <v>27</v>
      </c>
      <c r="F9" s="118" t="s">
        <v>28</v>
      </c>
      <c r="G9" s="98">
        <v>0.1</v>
      </c>
      <c r="H9" s="119">
        <f>E14*G9</f>
        <v>10000</v>
      </c>
      <c r="J9" s="107" t="s">
        <v>29</v>
      </c>
    </row>
    <row r="10" spans="2:10" ht="20.100000000000001" customHeight="1" thickBot="1">
      <c r="B10" s="20" t="s">
        <v>30</v>
      </c>
      <c r="C10" s="14"/>
      <c r="D10" s="21"/>
      <c r="E10" s="14"/>
      <c r="F10" s="22"/>
      <c r="G10" s="14"/>
      <c r="H10" s="101"/>
      <c r="J10" s="107"/>
    </row>
    <row r="11" spans="2:10" ht="20.100000000000001" customHeight="1" thickBot="1">
      <c r="B11" s="150">
        <v>0.1</v>
      </c>
      <c r="C11" s="154" t="s">
        <v>31</v>
      </c>
      <c r="D11" s="155">
        <v>0.1</v>
      </c>
      <c r="E11" s="23" t="s">
        <v>33</v>
      </c>
      <c r="F11" s="24" t="s">
        <v>34</v>
      </c>
      <c r="G11" s="12">
        <v>0.1</v>
      </c>
      <c r="H11" s="52">
        <f>E14*G11</f>
        <v>10000</v>
      </c>
      <c r="J11" s="107" t="s">
        <v>35</v>
      </c>
    </row>
    <row r="12" spans="2:10" ht="20.100000000000001" customHeight="1" thickBot="1">
      <c r="B12" s="190" t="s">
        <v>48</v>
      </c>
      <c r="C12" s="191"/>
      <c r="D12" s="34"/>
      <c r="E12" s="35"/>
      <c r="F12" s="34"/>
      <c r="G12" s="36">
        <f>SUM(G5:G11)</f>
        <v>0.99999999999999989</v>
      </c>
      <c r="H12" s="103">
        <f>SUM(H5:H11)</f>
        <v>100000</v>
      </c>
      <c r="J12" s="159"/>
    </row>
    <row r="14" spans="2:10" ht="20.100000000000001" customHeight="1">
      <c r="C14" s="50" t="s">
        <v>49</v>
      </c>
      <c r="E14" s="51">
        <v>100000</v>
      </c>
    </row>
  </sheetData>
  <mergeCells count="8">
    <mergeCell ref="B12:C12"/>
    <mergeCell ref="B1:H2"/>
    <mergeCell ref="B3:E3"/>
    <mergeCell ref="C6:C7"/>
    <mergeCell ref="D6:D7"/>
    <mergeCell ref="B5:B9"/>
    <mergeCell ref="C8:C9"/>
    <mergeCell ref="D8:D9"/>
  </mergeCells>
  <hyperlinks>
    <hyperlink ref="J6" r:id="rId1" xr:uid="{00000000-0004-0000-0200-000000000000}"/>
    <hyperlink ref="J8" r:id="rId2" xr:uid="{00000000-0004-0000-0200-000001000000}"/>
    <hyperlink ref="J7" r:id="rId3" xr:uid="{00000000-0004-0000-0200-000002000000}"/>
    <hyperlink ref="J11" r:id="rId4" xr:uid="{00000000-0004-0000-0200-000003000000}"/>
    <hyperlink ref="J9" r:id="rId5" xr:uid="{00000000-0004-0000-0200-000004000000}"/>
  </hyperlinks>
  <pageMargins left="0.7" right="0.7" top="0.75" bottom="0.75" header="0.3" footer="0.3"/>
  <pageSetup paperSize="9" orientation="landscape" r:id="rId6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workbookViewId="0">
      <selection activeCell="E6" sqref="E6"/>
    </sheetView>
  </sheetViews>
  <sheetFormatPr defaultRowHeight="12.75"/>
  <cols>
    <col min="1" max="1" width="3" customWidth="1"/>
    <col min="3" max="3" width="33.28515625" customWidth="1"/>
    <col min="4" max="4" width="8.140625" customWidth="1"/>
    <col min="5" max="5" width="48.7109375" bestFit="1" customWidth="1"/>
    <col min="6" max="6" width="11.28515625" bestFit="1" customWidth="1"/>
    <col min="7" max="7" width="7.42578125" customWidth="1"/>
    <col min="8" max="8" width="10.42578125" customWidth="1"/>
  </cols>
  <sheetData>
    <row r="1" spans="1:10" ht="20.100000000000001" customHeight="1">
      <c r="A1" s="48"/>
      <c r="B1" s="187" t="s">
        <v>53</v>
      </c>
      <c r="C1" s="187"/>
      <c r="D1" s="187"/>
      <c r="E1" s="187"/>
      <c r="F1" s="187"/>
      <c r="G1" s="187"/>
      <c r="H1" s="187"/>
      <c r="I1" s="16"/>
      <c r="J1" s="16"/>
    </row>
    <row r="2" spans="1:10" ht="7.5" customHeight="1" thickBot="1">
      <c r="B2" s="188"/>
      <c r="C2" s="188"/>
      <c r="D2" s="188"/>
      <c r="E2" s="188"/>
      <c r="F2" s="188"/>
      <c r="G2" s="188"/>
      <c r="H2" s="188"/>
      <c r="I2" s="16"/>
      <c r="J2" s="16"/>
    </row>
    <row r="3" spans="1:10" ht="20.100000000000001" customHeight="1" thickBot="1">
      <c r="B3" s="193" t="s">
        <v>54</v>
      </c>
      <c r="C3" s="194"/>
      <c r="D3" s="194"/>
      <c r="E3" s="195"/>
      <c r="F3" s="44" t="s">
        <v>7</v>
      </c>
      <c r="G3" s="44" t="s">
        <v>8</v>
      </c>
      <c r="H3" s="17" t="s">
        <v>9</v>
      </c>
      <c r="I3" s="16"/>
      <c r="J3" s="104" t="s">
        <v>10</v>
      </c>
    </row>
    <row r="4" spans="1:10" ht="20.100000000000001" customHeight="1" thickBot="1">
      <c r="B4" s="18" t="s">
        <v>11</v>
      </c>
      <c r="C4" s="13"/>
      <c r="D4" s="19"/>
      <c r="E4" s="13"/>
      <c r="F4" s="19"/>
      <c r="G4" s="13"/>
      <c r="H4" s="100"/>
      <c r="I4" s="16"/>
      <c r="J4" s="105"/>
    </row>
    <row r="5" spans="1:10" ht="20.100000000000001" customHeight="1" thickBot="1">
      <c r="B5" s="208">
        <v>0.5</v>
      </c>
      <c r="C5" s="153" t="s">
        <v>12</v>
      </c>
      <c r="D5" s="149" t="s">
        <v>40</v>
      </c>
      <c r="E5" s="45"/>
      <c r="F5" s="42"/>
      <c r="G5" s="12">
        <v>0</v>
      </c>
      <c r="H5" s="54">
        <f>E23*G5</f>
        <v>0</v>
      </c>
      <c r="I5" s="16"/>
      <c r="J5" s="106"/>
    </row>
    <row r="6" spans="1:10" ht="20.100000000000001" customHeight="1">
      <c r="B6" s="208"/>
      <c r="C6" s="196" t="s">
        <v>14</v>
      </c>
      <c r="D6" s="198" t="s">
        <v>55</v>
      </c>
      <c r="E6" s="23" t="s">
        <v>16</v>
      </c>
      <c r="F6" s="24" t="s">
        <v>17</v>
      </c>
      <c r="G6" s="12">
        <v>0.1</v>
      </c>
      <c r="H6" s="52">
        <f>E23*G6</f>
        <v>10000</v>
      </c>
      <c r="I6" s="16"/>
      <c r="J6" s="107" t="s">
        <v>18</v>
      </c>
    </row>
    <row r="7" spans="1:10" ht="20.100000000000001" customHeight="1" thickBot="1">
      <c r="B7" s="208"/>
      <c r="C7" s="206"/>
      <c r="D7" s="207"/>
      <c r="E7" s="124" t="s">
        <v>19</v>
      </c>
      <c r="F7" s="125" t="s">
        <v>20</v>
      </c>
      <c r="G7" s="126">
        <v>0.2</v>
      </c>
      <c r="H7" s="127">
        <f>E23*G7</f>
        <v>20000</v>
      </c>
      <c r="I7" s="16"/>
      <c r="J7" s="107" t="s">
        <v>21</v>
      </c>
    </row>
    <row r="8" spans="1:10" ht="20.100000000000001" customHeight="1">
      <c r="B8" s="208"/>
      <c r="C8" s="202" t="s">
        <v>22</v>
      </c>
      <c r="D8" s="198" t="s">
        <v>56</v>
      </c>
      <c r="E8" s="23" t="s">
        <v>24</v>
      </c>
      <c r="F8" s="24" t="s">
        <v>25</v>
      </c>
      <c r="G8" s="12">
        <v>0.05</v>
      </c>
      <c r="H8" s="127">
        <f>E23*G8</f>
        <v>5000</v>
      </c>
      <c r="I8" s="16"/>
      <c r="J8" s="107" t="s">
        <v>26</v>
      </c>
    </row>
    <row r="9" spans="1:10" ht="20.100000000000001" customHeight="1" thickBot="1">
      <c r="B9" s="208"/>
      <c r="C9" s="203"/>
      <c r="D9" s="207"/>
      <c r="E9" s="121" t="s">
        <v>27</v>
      </c>
      <c r="F9" s="122" t="s">
        <v>28</v>
      </c>
      <c r="G9" s="123">
        <v>0.05</v>
      </c>
      <c r="H9" s="128">
        <f>E23*G9</f>
        <v>5000</v>
      </c>
      <c r="I9" s="16"/>
      <c r="J9" s="107" t="s">
        <v>29</v>
      </c>
    </row>
    <row r="10" spans="1:10" ht="20.100000000000001" customHeight="1" thickBot="1">
      <c r="B10" s="208"/>
      <c r="C10" s="151" t="s">
        <v>57</v>
      </c>
      <c r="D10" s="152" t="s">
        <v>13</v>
      </c>
      <c r="E10" s="110" t="s">
        <v>58</v>
      </c>
      <c r="F10" s="46" t="s">
        <v>59</v>
      </c>
      <c r="G10" s="47">
        <v>0.1</v>
      </c>
      <c r="H10" s="119">
        <f>E23*G10</f>
        <v>10000</v>
      </c>
      <c r="I10" s="16"/>
      <c r="J10" s="107" t="s">
        <v>60</v>
      </c>
    </row>
    <row r="11" spans="1:10" ht="20.100000000000001" customHeight="1" thickBot="1">
      <c r="B11" s="209"/>
      <c r="C11" s="153" t="s">
        <v>61</v>
      </c>
      <c r="D11" s="149" t="s">
        <v>40</v>
      </c>
      <c r="E11" s="37"/>
      <c r="F11" s="42"/>
      <c r="G11" s="43">
        <v>0</v>
      </c>
      <c r="H11" s="54">
        <f>E23*G11</f>
        <v>0</v>
      </c>
      <c r="I11" s="16"/>
      <c r="J11" s="107"/>
    </row>
    <row r="12" spans="1:10" ht="20.100000000000001" customHeight="1" thickBot="1">
      <c r="B12" s="20" t="s">
        <v>30</v>
      </c>
      <c r="C12" s="14"/>
      <c r="D12" s="21"/>
      <c r="E12" s="14"/>
      <c r="F12" s="22"/>
      <c r="G12" s="14"/>
      <c r="H12" s="101"/>
      <c r="I12" s="16"/>
      <c r="J12" s="107"/>
    </row>
    <row r="13" spans="1:10" ht="20.100000000000001" customHeight="1">
      <c r="B13" s="192">
        <v>0.4</v>
      </c>
      <c r="C13" s="196" t="s">
        <v>31</v>
      </c>
      <c r="D13" s="198" t="s">
        <v>62</v>
      </c>
      <c r="E13" s="23" t="s">
        <v>33</v>
      </c>
      <c r="F13" s="24" t="s">
        <v>34</v>
      </c>
      <c r="G13" s="12">
        <v>0.19</v>
      </c>
      <c r="H13" s="52">
        <f>E23*G13</f>
        <v>19000</v>
      </c>
      <c r="I13" s="16"/>
      <c r="J13" s="107" t="s">
        <v>35</v>
      </c>
    </row>
    <row r="14" spans="1:10" ht="20.100000000000001" customHeight="1" thickBot="1">
      <c r="B14" s="192"/>
      <c r="C14" s="197"/>
      <c r="D14" s="199"/>
      <c r="E14" s="110" t="s">
        <v>36</v>
      </c>
      <c r="F14" s="46" t="s">
        <v>37</v>
      </c>
      <c r="G14" s="47">
        <v>0.19</v>
      </c>
      <c r="H14" s="119">
        <f>E23*G14</f>
        <v>19000</v>
      </c>
      <c r="I14" s="16"/>
      <c r="J14" s="107" t="s">
        <v>38</v>
      </c>
    </row>
    <row r="15" spans="1:10" ht="20.100000000000001" customHeight="1" thickBot="1">
      <c r="B15" s="192"/>
      <c r="C15" s="154" t="s">
        <v>39</v>
      </c>
      <c r="D15" s="149" t="s">
        <v>63</v>
      </c>
      <c r="E15" s="45" t="s">
        <v>64</v>
      </c>
      <c r="F15" s="42" t="s">
        <v>65</v>
      </c>
      <c r="G15" s="43">
        <v>0.02</v>
      </c>
      <c r="H15" s="54">
        <f>E23*G15</f>
        <v>2000</v>
      </c>
      <c r="I15" s="16"/>
      <c r="J15" s="107" t="s">
        <v>66</v>
      </c>
    </row>
    <row r="16" spans="1:10" ht="20.100000000000001" customHeight="1" thickBot="1">
      <c r="B16" s="111"/>
      <c r="C16" s="25" t="s">
        <v>67</v>
      </c>
      <c r="D16" s="149" t="s">
        <v>63</v>
      </c>
      <c r="E16" s="115"/>
      <c r="F16" s="113"/>
      <c r="G16" s="29">
        <v>0</v>
      </c>
      <c r="H16" s="114">
        <f>E23*G16</f>
        <v>0</v>
      </c>
      <c r="I16" s="16"/>
      <c r="J16" s="107"/>
    </row>
    <row r="17" spans="2:10" ht="20.100000000000001" customHeight="1" thickBot="1">
      <c r="B17" s="30" t="s">
        <v>41</v>
      </c>
      <c r="C17" s="15"/>
      <c r="D17" s="31"/>
      <c r="E17" s="15"/>
      <c r="F17" s="32"/>
      <c r="G17" s="15"/>
      <c r="H17" s="102"/>
      <c r="I17" s="16"/>
      <c r="J17" s="107"/>
    </row>
    <row r="18" spans="2:10" ht="20.100000000000001" customHeight="1" thickBot="1">
      <c r="B18" s="210">
        <v>0.1</v>
      </c>
      <c r="C18" s="25" t="s">
        <v>42</v>
      </c>
      <c r="D18" s="26" t="s">
        <v>13</v>
      </c>
      <c r="E18" s="27" t="s">
        <v>43</v>
      </c>
      <c r="F18" s="28" t="s">
        <v>44</v>
      </c>
      <c r="G18" s="29">
        <v>0.1</v>
      </c>
      <c r="H18" s="56">
        <f>E23*G18</f>
        <v>10000</v>
      </c>
      <c r="I18" s="16"/>
      <c r="J18" s="107" t="s">
        <v>45</v>
      </c>
    </row>
    <row r="19" spans="2:10" ht="20.100000000000001" customHeight="1" thickBot="1">
      <c r="B19" s="210"/>
      <c r="C19" s="151" t="s">
        <v>46</v>
      </c>
      <c r="D19" s="152" t="s">
        <v>13</v>
      </c>
      <c r="E19" s="33"/>
      <c r="F19" s="46"/>
      <c r="G19" s="47">
        <v>0</v>
      </c>
      <c r="H19" s="55">
        <v>0</v>
      </c>
      <c r="I19" s="16"/>
      <c r="J19" s="107"/>
    </row>
    <row r="20" spans="2:10" ht="20.100000000000001" customHeight="1" thickBot="1">
      <c r="B20" s="211"/>
      <c r="C20" s="25" t="s">
        <v>47</v>
      </c>
      <c r="D20" s="26" t="s">
        <v>13</v>
      </c>
      <c r="E20" s="27"/>
      <c r="F20" s="28"/>
      <c r="G20" s="29">
        <v>0</v>
      </c>
      <c r="H20" s="56">
        <f>E23*G20</f>
        <v>0</v>
      </c>
      <c r="I20" s="16"/>
      <c r="J20" s="109"/>
    </row>
    <row r="21" spans="2:10" ht="20.100000000000001" customHeight="1" thickBot="1">
      <c r="B21" s="190" t="s">
        <v>48</v>
      </c>
      <c r="C21" s="191"/>
      <c r="D21" s="34"/>
      <c r="E21" s="35"/>
      <c r="F21" s="34"/>
      <c r="G21" s="36">
        <f>SUM(G5:G20)</f>
        <v>0.99999999999999989</v>
      </c>
      <c r="H21" s="103">
        <f>SUM(H5:H20)</f>
        <v>100000</v>
      </c>
      <c r="I21" s="16"/>
      <c r="J21" s="108"/>
    </row>
    <row r="22" spans="2:10" ht="20.100000000000001" customHeight="1">
      <c r="B22" s="16"/>
      <c r="C22" s="16"/>
      <c r="D22" s="16"/>
      <c r="E22" s="16"/>
      <c r="F22" s="16"/>
      <c r="G22" s="16"/>
      <c r="H22" s="16"/>
      <c r="I22" s="16"/>
      <c r="J22" s="16"/>
    </row>
    <row r="23" spans="2:10" ht="20.100000000000001" customHeight="1">
      <c r="B23" s="16"/>
      <c r="C23" s="50" t="s">
        <v>49</v>
      </c>
      <c r="D23" s="16"/>
      <c r="E23" s="51">
        <v>100000</v>
      </c>
      <c r="F23" s="16"/>
      <c r="G23" s="16"/>
      <c r="H23" s="16"/>
      <c r="I23" s="16"/>
      <c r="J23" s="16"/>
    </row>
    <row r="24" spans="2:10" ht="20.100000000000001" customHeight="1"/>
    <row r="25" spans="2:10" ht="20.100000000000001" customHeight="1"/>
    <row r="26" spans="2:10" ht="20.100000000000001" customHeight="1"/>
    <row r="27" spans="2:10" ht="20.100000000000001" customHeight="1"/>
    <row r="28" spans="2:10" ht="20.100000000000001" customHeight="1"/>
    <row r="29" spans="2:10" ht="20.100000000000001" customHeight="1"/>
    <row r="30" spans="2:10" ht="20.100000000000001" customHeight="1"/>
    <row r="31" spans="2:10" ht="20.100000000000001" customHeight="1"/>
    <row r="32" spans="2:10" ht="20.100000000000001" customHeight="1"/>
  </sheetData>
  <mergeCells count="12">
    <mergeCell ref="B18:B20"/>
    <mergeCell ref="B21:C21"/>
    <mergeCell ref="B1:H2"/>
    <mergeCell ref="B3:E3"/>
    <mergeCell ref="B5:B11"/>
    <mergeCell ref="C6:C7"/>
    <mergeCell ref="D6:D7"/>
    <mergeCell ref="B13:B15"/>
    <mergeCell ref="C13:C14"/>
    <mergeCell ref="D13:D14"/>
    <mergeCell ref="C8:C9"/>
    <mergeCell ref="D8:D9"/>
  </mergeCells>
  <hyperlinks>
    <hyperlink ref="J8" r:id="rId1" xr:uid="{00000000-0004-0000-0300-000000000000}"/>
    <hyperlink ref="J13" r:id="rId2" xr:uid="{00000000-0004-0000-0300-000001000000}"/>
    <hyperlink ref="J9" r:id="rId3" xr:uid="{00000000-0004-0000-0300-000002000000}"/>
    <hyperlink ref="J10" r:id="rId4" xr:uid="{00000000-0004-0000-0300-000003000000}"/>
    <hyperlink ref="J15" r:id="rId5" xr:uid="{00000000-0004-0000-0300-000004000000}"/>
    <hyperlink ref="J14" r:id="rId6" xr:uid="{00000000-0004-0000-0300-000005000000}"/>
    <hyperlink ref="J18" r:id="rId7" xr:uid="{00000000-0004-0000-0300-000006000000}"/>
    <hyperlink ref="J6" r:id="rId8" xr:uid="{00000000-0004-0000-0300-000007000000}"/>
    <hyperlink ref="J7" r:id="rId9" xr:uid="{00000000-0004-0000-0300-000008000000}"/>
  </hyperlinks>
  <pageMargins left="0.7" right="0.7" top="0.75" bottom="0.75" header="0.3" footer="0.3"/>
  <pageSetup paperSize="9" orientation="landscape" r:id="rId10"/>
  <drawing r:id="rId1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activeCell="E6" sqref="E6"/>
    </sheetView>
  </sheetViews>
  <sheetFormatPr defaultRowHeight="12.75"/>
  <cols>
    <col min="1" max="1" width="3" customWidth="1"/>
    <col min="3" max="3" width="33.28515625" customWidth="1"/>
    <col min="4" max="4" width="8.140625" customWidth="1"/>
    <col min="5" max="5" width="48.7109375" bestFit="1" customWidth="1"/>
    <col min="6" max="6" width="11.28515625" bestFit="1" customWidth="1"/>
    <col min="7" max="7" width="7.42578125" customWidth="1"/>
    <col min="8" max="8" width="10.42578125" customWidth="1"/>
  </cols>
  <sheetData>
    <row r="1" spans="1:10" ht="20.100000000000001" customHeight="1">
      <c r="A1" s="48"/>
      <c r="B1" s="187" t="s">
        <v>68</v>
      </c>
      <c r="C1" s="187"/>
      <c r="D1" s="187"/>
      <c r="E1" s="187"/>
      <c r="F1" s="187"/>
      <c r="G1" s="187"/>
      <c r="H1" s="187"/>
      <c r="I1" s="16"/>
      <c r="J1" s="16"/>
    </row>
    <row r="2" spans="1:10" ht="7.5" customHeight="1" thickBot="1">
      <c r="B2" s="188"/>
      <c r="C2" s="188"/>
      <c r="D2" s="188"/>
      <c r="E2" s="188"/>
      <c r="F2" s="188"/>
      <c r="G2" s="188"/>
      <c r="H2" s="188"/>
      <c r="I2" s="16"/>
      <c r="J2" s="16"/>
    </row>
    <row r="3" spans="1:10" ht="20.100000000000001" customHeight="1" thickBot="1">
      <c r="B3" s="193" t="s">
        <v>69</v>
      </c>
      <c r="C3" s="194"/>
      <c r="D3" s="194"/>
      <c r="E3" s="195"/>
      <c r="F3" s="44" t="s">
        <v>7</v>
      </c>
      <c r="G3" s="44" t="s">
        <v>8</v>
      </c>
      <c r="H3" s="17" t="s">
        <v>9</v>
      </c>
      <c r="I3" s="16"/>
      <c r="J3" s="104" t="s">
        <v>10</v>
      </c>
    </row>
    <row r="4" spans="1:10" ht="20.100000000000001" customHeight="1" thickBot="1">
      <c r="B4" s="18" t="s">
        <v>11</v>
      </c>
      <c r="C4" s="13"/>
      <c r="D4" s="19"/>
      <c r="E4" s="13"/>
      <c r="F4" s="19"/>
      <c r="G4" s="13"/>
      <c r="H4" s="100"/>
      <c r="I4" s="16"/>
      <c r="J4" s="105"/>
    </row>
    <row r="5" spans="1:10" ht="20.100000000000001" customHeight="1" thickBot="1">
      <c r="B5" s="208">
        <v>0.75</v>
      </c>
      <c r="C5" s="153" t="s">
        <v>12</v>
      </c>
      <c r="D5" s="149" t="s">
        <v>52</v>
      </c>
      <c r="E5" s="45"/>
      <c r="F5" s="42"/>
      <c r="G5" s="12">
        <v>0</v>
      </c>
      <c r="H5" s="54">
        <f>E15*G5</f>
        <v>0</v>
      </c>
      <c r="I5" s="16"/>
      <c r="J5" s="106"/>
    </row>
    <row r="6" spans="1:10" ht="20.100000000000001" customHeight="1">
      <c r="B6" s="208"/>
      <c r="C6" s="196" t="s">
        <v>14</v>
      </c>
      <c r="D6" s="198" t="s">
        <v>70</v>
      </c>
      <c r="E6" s="23" t="s">
        <v>16</v>
      </c>
      <c r="F6" s="24" t="s">
        <v>17</v>
      </c>
      <c r="G6" s="12">
        <v>0.2</v>
      </c>
      <c r="H6" s="52">
        <f>E15*G6</f>
        <v>20000</v>
      </c>
      <c r="I6" s="16"/>
      <c r="J6" s="107" t="s">
        <v>18</v>
      </c>
    </row>
    <row r="7" spans="1:10" ht="20.100000000000001" customHeight="1" thickBot="1">
      <c r="B7" s="208"/>
      <c r="C7" s="206"/>
      <c r="D7" s="207"/>
      <c r="E7" s="38" t="s">
        <v>19</v>
      </c>
      <c r="F7" s="39" t="s">
        <v>20</v>
      </c>
      <c r="G7" s="40">
        <v>0.3</v>
      </c>
      <c r="H7" s="53">
        <f>E15*G7</f>
        <v>30000</v>
      </c>
      <c r="I7" s="16"/>
      <c r="J7" s="107" t="s">
        <v>21</v>
      </c>
    </row>
    <row r="8" spans="1:10" ht="20.100000000000001" customHeight="1">
      <c r="B8" s="208"/>
      <c r="C8" s="202" t="s">
        <v>22</v>
      </c>
      <c r="D8" s="198" t="s">
        <v>23</v>
      </c>
      <c r="E8" s="116" t="s">
        <v>24</v>
      </c>
      <c r="F8" s="24" t="s">
        <v>25</v>
      </c>
      <c r="G8" s="12">
        <v>0.1</v>
      </c>
      <c r="H8" s="53">
        <f>E15*G8</f>
        <v>10000</v>
      </c>
      <c r="I8" s="16"/>
      <c r="J8" s="107" t="s">
        <v>26</v>
      </c>
    </row>
    <row r="9" spans="1:10" ht="20.100000000000001" customHeight="1" thickBot="1">
      <c r="B9" s="208"/>
      <c r="C9" s="203"/>
      <c r="D9" s="207"/>
      <c r="E9" s="129" t="s">
        <v>27</v>
      </c>
      <c r="F9" s="46" t="s">
        <v>28</v>
      </c>
      <c r="G9" s="47">
        <v>0.1</v>
      </c>
      <c r="H9" s="53">
        <f>E15*G9</f>
        <v>10000</v>
      </c>
      <c r="I9" s="16"/>
      <c r="J9" s="107" t="s">
        <v>29</v>
      </c>
    </row>
    <row r="10" spans="1:10" ht="20.100000000000001" customHeight="1" thickBot="1">
      <c r="B10" s="209"/>
      <c r="C10" s="25" t="s">
        <v>57</v>
      </c>
      <c r="D10" s="26" t="s">
        <v>13</v>
      </c>
      <c r="E10" s="115" t="s">
        <v>58</v>
      </c>
      <c r="F10" s="28" t="s">
        <v>59</v>
      </c>
      <c r="G10" s="29">
        <v>0.05</v>
      </c>
      <c r="H10" s="56">
        <f>E15*G10</f>
        <v>5000</v>
      </c>
      <c r="I10" s="16"/>
      <c r="J10" s="107" t="s">
        <v>60</v>
      </c>
    </row>
    <row r="11" spans="1:10" ht="20.100000000000001" customHeight="1" thickBot="1">
      <c r="B11" s="20" t="s">
        <v>30</v>
      </c>
      <c r="C11" s="14"/>
      <c r="D11" s="21"/>
      <c r="E11" s="14"/>
      <c r="F11" s="22"/>
      <c r="G11" s="14"/>
      <c r="H11" s="101"/>
      <c r="I11" s="16"/>
      <c r="J11" s="107"/>
    </row>
    <row r="12" spans="1:10" ht="20.100000000000001" customHeight="1" thickBot="1">
      <c r="B12" s="150">
        <v>0.25</v>
      </c>
      <c r="C12" s="154" t="s">
        <v>31</v>
      </c>
      <c r="D12" s="155">
        <v>0.25</v>
      </c>
      <c r="E12" s="23" t="s">
        <v>33</v>
      </c>
      <c r="F12" s="24" t="s">
        <v>34</v>
      </c>
      <c r="G12" s="12">
        <v>0.25</v>
      </c>
      <c r="H12" s="52">
        <f>E15*G12</f>
        <v>25000</v>
      </c>
      <c r="I12" s="16"/>
      <c r="J12" s="107" t="s">
        <v>35</v>
      </c>
    </row>
    <row r="13" spans="1:10" ht="20.100000000000001" customHeight="1" thickBot="1">
      <c r="B13" s="190" t="s">
        <v>48</v>
      </c>
      <c r="C13" s="191"/>
      <c r="D13" s="34"/>
      <c r="E13" s="35"/>
      <c r="F13" s="34"/>
      <c r="G13" s="36">
        <f>SUM(G5:G12)</f>
        <v>1</v>
      </c>
      <c r="H13" s="103">
        <f>SUM(H5:H12)</f>
        <v>100000</v>
      </c>
      <c r="I13" s="16"/>
      <c r="J13" s="107"/>
    </row>
    <row r="14" spans="1:10" ht="20.100000000000001" customHeight="1">
      <c r="B14" s="16"/>
      <c r="C14" s="16"/>
      <c r="D14" s="16"/>
      <c r="E14" s="16"/>
      <c r="F14" s="16"/>
      <c r="G14" s="16"/>
      <c r="H14" s="16"/>
      <c r="I14" s="16"/>
      <c r="J14" s="107"/>
    </row>
    <row r="15" spans="1:10" ht="20.100000000000001" customHeight="1">
      <c r="B15" s="16"/>
      <c r="C15" s="50" t="s">
        <v>49</v>
      </c>
      <c r="D15" s="16"/>
      <c r="E15" s="51">
        <v>100000</v>
      </c>
      <c r="F15" s="16"/>
      <c r="G15" s="16"/>
      <c r="H15" s="16"/>
      <c r="I15" s="16"/>
      <c r="J15" s="16"/>
    </row>
    <row r="16" spans="1:10" ht="20.100000000000001" customHeight="1"/>
    <row r="17" spans="7:7" ht="20.100000000000001" customHeight="1">
      <c r="G17" t="s">
        <v>71</v>
      </c>
    </row>
    <row r="18" spans="7:7" ht="20.100000000000001" customHeight="1"/>
    <row r="19" spans="7:7" ht="20.100000000000001" customHeight="1"/>
    <row r="20" spans="7:7" ht="20.100000000000001" customHeight="1"/>
    <row r="21" spans="7:7" ht="20.100000000000001" customHeight="1"/>
    <row r="22" spans="7:7" ht="20.100000000000001" customHeight="1"/>
    <row r="23" spans="7:7" ht="20.100000000000001" customHeight="1"/>
    <row r="24" spans="7:7" ht="20.100000000000001" customHeight="1"/>
  </sheetData>
  <mergeCells count="8">
    <mergeCell ref="C8:C9"/>
    <mergeCell ref="D8:D9"/>
    <mergeCell ref="B13:C13"/>
    <mergeCell ref="B1:H2"/>
    <mergeCell ref="B3:E3"/>
    <mergeCell ref="B5:B10"/>
    <mergeCell ref="C6:C7"/>
    <mergeCell ref="D6:D7"/>
  </mergeCells>
  <hyperlinks>
    <hyperlink ref="J9" r:id="rId1" xr:uid="{00000000-0004-0000-0400-000000000000}"/>
    <hyperlink ref="J10" r:id="rId2" xr:uid="{00000000-0004-0000-0400-000001000000}"/>
    <hyperlink ref="J8" r:id="rId3" xr:uid="{00000000-0004-0000-0400-000002000000}"/>
    <hyperlink ref="J6" r:id="rId4" xr:uid="{00000000-0004-0000-0400-000003000000}"/>
    <hyperlink ref="J12" r:id="rId5" xr:uid="{00000000-0004-0000-0400-000004000000}"/>
    <hyperlink ref="J7" r:id="rId6" xr:uid="{00000000-0004-0000-0400-000005000000}"/>
  </hyperlinks>
  <pageMargins left="0.7" right="0.7" top="0.75" bottom="0.75" header="0.3" footer="0.3"/>
  <pageSetup paperSize="9" orientation="landscape" r:id="rId7"/>
  <drawing r:id="rId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1"/>
  <sheetViews>
    <sheetView topLeftCell="A2" workbookViewId="0">
      <selection activeCell="E6" sqref="E6"/>
    </sheetView>
  </sheetViews>
  <sheetFormatPr defaultRowHeight="12.75"/>
  <cols>
    <col min="1" max="1" width="3.140625" customWidth="1"/>
    <col min="3" max="3" width="32.85546875" customWidth="1"/>
    <col min="5" max="5" width="47.42578125" customWidth="1"/>
    <col min="6" max="6" width="11.28515625" bestFit="1" customWidth="1"/>
    <col min="7" max="7" width="8.5703125" customWidth="1"/>
    <col min="8" max="8" width="10.5703125" customWidth="1"/>
  </cols>
  <sheetData>
    <row r="1" spans="2:10" ht="15.75" customHeight="1">
      <c r="B1" s="187" t="s">
        <v>72</v>
      </c>
      <c r="C1" s="187"/>
      <c r="D1" s="187"/>
      <c r="E1" s="187"/>
      <c r="F1" s="187"/>
      <c r="G1" s="187"/>
      <c r="H1" s="187"/>
      <c r="I1" s="16"/>
      <c r="J1" s="16"/>
    </row>
    <row r="2" spans="2:10" ht="12.75" customHeight="1" thickBot="1">
      <c r="B2" s="188"/>
      <c r="C2" s="188"/>
      <c r="D2" s="188"/>
      <c r="E2" s="188"/>
      <c r="F2" s="188"/>
      <c r="G2" s="188"/>
      <c r="H2" s="188"/>
      <c r="I2" s="16"/>
      <c r="J2" s="16"/>
    </row>
    <row r="3" spans="2:10" ht="20.100000000000001" customHeight="1" thickBot="1">
      <c r="B3" s="193" t="s">
        <v>73</v>
      </c>
      <c r="C3" s="194"/>
      <c r="D3" s="194"/>
      <c r="E3" s="195"/>
      <c r="F3" s="44" t="s">
        <v>7</v>
      </c>
      <c r="G3" s="44" t="s">
        <v>8</v>
      </c>
      <c r="H3" s="17" t="s">
        <v>9</v>
      </c>
      <c r="I3" s="16"/>
      <c r="J3" s="104" t="s">
        <v>10</v>
      </c>
    </row>
    <row r="4" spans="2:10" ht="20.100000000000001" customHeight="1" thickBot="1">
      <c r="B4" s="18" t="s">
        <v>11</v>
      </c>
      <c r="C4" s="13"/>
      <c r="D4" s="19"/>
      <c r="E4" s="13"/>
      <c r="F4" s="19"/>
      <c r="G4" s="13"/>
      <c r="H4" s="100"/>
      <c r="I4" s="16"/>
      <c r="J4" s="105"/>
    </row>
    <row r="5" spans="2:10" ht="20.100000000000001" customHeight="1" thickBot="1">
      <c r="B5" s="208">
        <v>0.2</v>
      </c>
      <c r="C5" s="153" t="s">
        <v>12</v>
      </c>
      <c r="D5" s="149" t="s">
        <v>40</v>
      </c>
      <c r="E5" s="45"/>
      <c r="F5" s="42"/>
      <c r="G5" s="12">
        <v>0</v>
      </c>
      <c r="H5" s="54">
        <f>E21*G5</f>
        <v>0</v>
      </c>
      <c r="I5" s="16"/>
      <c r="J5" s="107"/>
    </row>
    <row r="6" spans="2:10" ht="20.100000000000001" customHeight="1" thickBot="1">
      <c r="B6" s="208"/>
      <c r="C6" s="25" t="s">
        <v>14</v>
      </c>
      <c r="D6" s="26" t="s">
        <v>32</v>
      </c>
      <c r="E6" s="115" t="s">
        <v>19</v>
      </c>
      <c r="F6" s="28" t="s">
        <v>20</v>
      </c>
      <c r="G6" s="29">
        <v>0.05</v>
      </c>
      <c r="H6" s="56">
        <f>E21*G6</f>
        <v>5000</v>
      </c>
      <c r="I6" s="16"/>
      <c r="J6" s="107" t="s">
        <v>21</v>
      </c>
    </row>
    <row r="7" spans="2:10" ht="20.100000000000001" customHeight="1" thickBot="1">
      <c r="B7" s="208"/>
      <c r="C7" s="156" t="s">
        <v>22</v>
      </c>
      <c r="D7" s="152" t="s">
        <v>13</v>
      </c>
      <c r="E7" s="129" t="s">
        <v>24</v>
      </c>
      <c r="F7" s="46" t="s">
        <v>25</v>
      </c>
      <c r="G7" s="47">
        <v>0.1</v>
      </c>
      <c r="H7" s="55">
        <f>E21*G7</f>
        <v>10000</v>
      </c>
      <c r="I7" s="16"/>
      <c r="J7" s="107" t="s">
        <v>26</v>
      </c>
    </row>
    <row r="8" spans="2:10" ht="20.100000000000001" customHeight="1" thickBot="1">
      <c r="B8" s="208"/>
      <c r="C8" s="25" t="s">
        <v>57</v>
      </c>
      <c r="D8" s="26" t="s">
        <v>40</v>
      </c>
      <c r="E8" s="115" t="s">
        <v>58</v>
      </c>
      <c r="F8" s="28" t="s">
        <v>59</v>
      </c>
      <c r="G8" s="29">
        <v>0.05</v>
      </c>
      <c r="H8" s="56">
        <f>E21*G8</f>
        <v>5000</v>
      </c>
      <c r="I8" s="16"/>
      <c r="J8" s="107" t="s">
        <v>60</v>
      </c>
    </row>
    <row r="9" spans="2:10" ht="20.100000000000001" customHeight="1" thickBot="1">
      <c r="B9" s="209"/>
      <c r="C9" s="153" t="s">
        <v>61</v>
      </c>
      <c r="D9" s="149" t="s">
        <v>40</v>
      </c>
      <c r="E9" s="37"/>
      <c r="F9" s="42"/>
      <c r="G9" s="43">
        <v>0</v>
      </c>
      <c r="H9" s="54">
        <f>E21*G9</f>
        <v>0</v>
      </c>
      <c r="I9" s="16"/>
      <c r="J9" s="107"/>
    </row>
    <row r="10" spans="2:10" ht="20.100000000000001" customHeight="1" thickBot="1">
      <c r="B10" s="20" t="s">
        <v>30</v>
      </c>
      <c r="C10" s="14"/>
      <c r="D10" s="21"/>
      <c r="E10" s="14"/>
      <c r="F10" s="22"/>
      <c r="G10" s="14"/>
      <c r="H10" s="101"/>
      <c r="I10" s="16"/>
      <c r="J10" s="107"/>
    </row>
    <row r="11" spans="2:10" ht="20.100000000000001" customHeight="1">
      <c r="B11" s="192">
        <v>0.7</v>
      </c>
      <c r="C11" s="196" t="s">
        <v>31</v>
      </c>
      <c r="D11" s="198" t="s">
        <v>74</v>
      </c>
      <c r="E11" s="23" t="s">
        <v>33</v>
      </c>
      <c r="F11" s="24" t="s">
        <v>34</v>
      </c>
      <c r="G11" s="12">
        <v>0.35</v>
      </c>
      <c r="H11" s="52">
        <f>E21*G11</f>
        <v>35000</v>
      </c>
      <c r="I11" s="16"/>
      <c r="J11" s="107" t="s">
        <v>35</v>
      </c>
    </row>
    <row r="12" spans="2:10" ht="20.100000000000001" customHeight="1" thickBot="1">
      <c r="B12" s="192"/>
      <c r="C12" s="197"/>
      <c r="D12" s="199"/>
      <c r="E12" s="110" t="s">
        <v>36</v>
      </c>
      <c r="F12" s="46" t="s">
        <v>37</v>
      </c>
      <c r="G12" s="47">
        <v>0.32</v>
      </c>
      <c r="H12" s="119">
        <f>E21*G12</f>
        <v>32000</v>
      </c>
      <c r="I12" s="16"/>
      <c r="J12" s="107" t="s">
        <v>38</v>
      </c>
    </row>
    <row r="13" spans="2:10" ht="20.100000000000001" customHeight="1" thickBot="1">
      <c r="B13" s="192"/>
      <c r="C13" s="154" t="s">
        <v>39</v>
      </c>
      <c r="D13" s="149" t="s">
        <v>52</v>
      </c>
      <c r="E13" s="45" t="s">
        <v>64</v>
      </c>
      <c r="F13" s="42" t="s">
        <v>65</v>
      </c>
      <c r="G13" s="43">
        <v>0.03</v>
      </c>
      <c r="H13" s="54">
        <f>E21*G13</f>
        <v>3000</v>
      </c>
      <c r="I13" s="16"/>
      <c r="J13" s="107" t="s">
        <v>66</v>
      </c>
    </row>
    <row r="14" spans="2:10" ht="20.100000000000001" customHeight="1" thickBot="1">
      <c r="B14" s="111"/>
      <c r="C14" s="25" t="s">
        <v>67</v>
      </c>
      <c r="D14" s="112" t="s">
        <v>63</v>
      </c>
      <c r="E14" s="115"/>
      <c r="F14" s="113"/>
      <c r="G14" s="29">
        <v>0</v>
      </c>
      <c r="H14" s="114">
        <f>E21*G14</f>
        <v>0</v>
      </c>
      <c r="I14" s="16"/>
      <c r="J14" s="107"/>
    </row>
    <row r="15" spans="2:10" ht="20.100000000000001" customHeight="1" thickBot="1">
      <c r="B15" s="30" t="s">
        <v>41</v>
      </c>
      <c r="C15" s="15"/>
      <c r="D15" s="31"/>
      <c r="E15" s="15"/>
      <c r="F15" s="32"/>
      <c r="G15" s="15"/>
      <c r="H15" s="102"/>
      <c r="I15" s="16"/>
      <c r="J15" s="107"/>
    </row>
    <row r="16" spans="2:10" ht="20.100000000000001" customHeight="1" thickBot="1">
      <c r="B16" s="210">
        <v>0.1</v>
      </c>
      <c r="C16" s="25" t="s">
        <v>42</v>
      </c>
      <c r="D16" s="26" t="s">
        <v>13</v>
      </c>
      <c r="E16" s="27" t="s">
        <v>43</v>
      </c>
      <c r="F16" s="28" t="s">
        <v>44</v>
      </c>
      <c r="G16" s="29">
        <v>0.1</v>
      </c>
      <c r="H16" s="56">
        <f>E21*G16</f>
        <v>10000</v>
      </c>
      <c r="I16" s="16"/>
      <c r="J16" s="107" t="s">
        <v>45</v>
      </c>
    </row>
    <row r="17" spans="2:10" ht="20.100000000000001" customHeight="1" thickBot="1">
      <c r="B17" s="210"/>
      <c r="C17" s="151" t="s">
        <v>46</v>
      </c>
      <c r="D17" s="152" t="s">
        <v>13</v>
      </c>
      <c r="E17" s="33"/>
      <c r="F17" s="46"/>
      <c r="G17" s="47">
        <v>0</v>
      </c>
      <c r="H17" s="55">
        <v>0</v>
      </c>
      <c r="I17" s="16"/>
      <c r="J17" s="107"/>
    </row>
    <row r="18" spans="2:10" ht="20.100000000000001" customHeight="1" thickBot="1">
      <c r="B18" s="211"/>
      <c r="C18" s="25" t="s">
        <v>47</v>
      </c>
      <c r="D18" s="26" t="s">
        <v>13</v>
      </c>
      <c r="E18" s="27"/>
      <c r="F18" s="28"/>
      <c r="G18" s="29">
        <v>0</v>
      </c>
      <c r="H18" s="56">
        <f>E21*G18</f>
        <v>0</v>
      </c>
      <c r="I18" s="16"/>
      <c r="J18" s="107"/>
    </row>
    <row r="19" spans="2:10" ht="20.100000000000001" customHeight="1" thickBot="1">
      <c r="B19" s="190" t="s">
        <v>48</v>
      </c>
      <c r="C19" s="191"/>
      <c r="D19" s="34"/>
      <c r="E19" s="35"/>
      <c r="F19" s="34"/>
      <c r="G19" s="36">
        <f>SUM(G5:G18)</f>
        <v>1.0000000000000002</v>
      </c>
      <c r="H19" s="103">
        <f>SUM(H5:H18)</f>
        <v>100000</v>
      </c>
      <c r="I19" s="16"/>
      <c r="J19" s="108"/>
    </row>
    <row r="20" spans="2:10" ht="15" customHeight="1">
      <c r="B20" s="16"/>
      <c r="C20" s="16"/>
      <c r="D20" s="16"/>
      <c r="E20" s="16"/>
      <c r="F20" s="16"/>
      <c r="G20" s="16"/>
      <c r="H20" s="16"/>
      <c r="I20" s="16"/>
      <c r="J20" s="16"/>
    </row>
    <row r="21" spans="2:10" ht="20.100000000000001" customHeight="1">
      <c r="B21" s="16"/>
      <c r="C21" s="50" t="s">
        <v>49</v>
      </c>
      <c r="D21" s="16"/>
      <c r="E21" s="51">
        <v>100000</v>
      </c>
      <c r="F21" s="16"/>
      <c r="G21" s="16"/>
      <c r="H21" s="16"/>
      <c r="I21" s="16"/>
      <c r="J21" s="16"/>
    </row>
    <row r="22" spans="2:10" ht="20.100000000000001" customHeight="1"/>
    <row r="23" spans="2:10" ht="20.100000000000001" customHeight="1"/>
    <row r="24" spans="2:10" ht="20.100000000000001" customHeight="1"/>
    <row r="25" spans="2:10" ht="20.100000000000001" customHeight="1"/>
    <row r="26" spans="2:10" ht="20.100000000000001" customHeight="1"/>
    <row r="27" spans="2:10" ht="20.100000000000001" customHeight="1"/>
    <row r="28" spans="2:10" ht="20.100000000000001" customHeight="1"/>
    <row r="29" spans="2:10" ht="20.100000000000001" customHeight="1"/>
    <row r="30" spans="2:10" ht="20.100000000000001" customHeight="1"/>
    <row r="31" spans="2:10" ht="20.100000000000001" customHeight="1"/>
  </sheetData>
  <mergeCells count="8">
    <mergeCell ref="B16:B18"/>
    <mergeCell ref="B19:C19"/>
    <mergeCell ref="B1:H2"/>
    <mergeCell ref="B3:E3"/>
    <mergeCell ref="B5:B9"/>
    <mergeCell ref="B11:B13"/>
    <mergeCell ref="C11:C12"/>
    <mergeCell ref="D11:D12"/>
  </mergeCells>
  <hyperlinks>
    <hyperlink ref="J7" r:id="rId1" xr:uid="{00000000-0004-0000-0500-000000000000}"/>
    <hyperlink ref="J6" r:id="rId2" xr:uid="{00000000-0004-0000-0500-000001000000}"/>
    <hyperlink ref="J8" r:id="rId3" xr:uid="{00000000-0004-0000-0500-000002000000}"/>
    <hyperlink ref="J11" r:id="rId4" xr:uid="{00000000-0004-0000-0500-000003000000}"/>
    <hyperlink ref="J12" r:id="rId5" xr:uid="{00000000-0004-0000-0500-000004000000}"/>
    <hyperlink ref="J13" r:id="rId6" xr:uid="{00000000-0004-0000-0500-000005000000}"/>
    <hyperlink ref="J16" r:id="rId7" xr:uid="{00000000-0004-0000-0500-000006000000}"/>
  </hyperlinks>
  <pageMargins left="0.7" right="0.7" top="0.78740157499999996" bottom="0.78740157499999996" header="0.3" footer="0.3"/>
  <pageSetup paperSize="9" orientation="landscape" r:id="rId8"/>
  <drawing r:id="rId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4"/>
  <sheetViews>
    <sheetView workbookViewId="0">
      <selection activeCell="E6" sqref="E6"/>
    </sheetView>
  </sheetViews>
  <sheetFormatPr defaultRowHeight="12.75"/>
  <cols>
    <col min="1" max="1" width="3" customWidth="1"/>
    <col min="3" max="3" width="33.28515625" customWidth="1"/>
    <col min="4" max="4" width="8.140625" customWidth="1"/>
    <col min="5" max="5" width="48.7109375" bestFit="1" customWidth="1"/>
    <col min="6" max="6" width="11.28515625" bestFit="1" customWidth="1"/>
    <col min="7" max="7" width="7.42578125" customWidth="1"/>
    <col min="8" max="8" width="10.42578125" customWidth="1"/>
  </cols>
  <sheetData>
    <row r="1" spans="1:10" ht="20.100000000000001" customHeight="1">
      <c r="A1" s="48"/>
      <c r="B1" s="187" t="s">
        <v>72</v>
      </c>
      <c r="C1" s="187"/>
      <c r="D1" s="187"/>
      <c r="E1" s="187"/>
      <c r="F1" s="187"/>
      <c r="G1" s="187"/>
      <c r="H1" s="187"/>
      <c r="I1" s="16"/>
      <c r="J1" s="16"/>
    </row>
    <row r="2" spans="1:10" ht="7.5" customHeight="1" thickBot="1">
      <c r="B2" s="188"/>
      <c r="C2" s="188"/>
      <c r="D2" s="188"/>
      <c r="E2" s="188"/>
      <c r="F2" s="188"/>
      <c r="G2" s="188"/>
      <c r="H2" s="188"/>
      <c r="I2" s="16"/>
      <c r="J2" s="16"/>
    </row>
    <row r="3" spans="1:10" ht="20.100000000000001" customHeight="1" thickBot="1">
      <c r="B3" s="193" t="s">
        <v>75</v>
      </c>
      <c r="C3" s="194"/>
      <c r="D3" s="194"/>
      <c r="E3" s="195"/>
      <c r="F3" s="44" t="s">
        <v>7</v>
      </c>
      <c r="G3" s="44" t="s">
        <v>8</v>
      </c>
      <c r="H3" s="17" t="s">
        <v>9</v>
      </c>
      <c r="I3" s="16"/>
      <c r="J3" s="104" t="s">
        <v>10</v>
      </c>
    </row>
    <row r="4" spans="1:10" ht="20.100000000000001" customHeight="1" thickBot="1">
      <c r="B4" s="18" t="s">
        <v>11</v>
      </c>
      <c r="C4" s="13"/>
      <c r="D4" s="19"/>
      <c r="E4" s="13"/>
      <c r="F4" s="19"/>
      <c r="G4" s="13"/>
      <c r="H4" s="100"/>
      <c r="I4" s="16"/>
      <c r="J4" s="105"/>
    </row>
    <row r="5" spans="1:10" ht="20.100000000000001" customHeight="1" thickBot="1">
      <c r="B5" s="208">
        <v>0.6</v>
      </c>
      <c r="C5" s="153" t="s">
        <v>12</v>
      </c>
      <c r="D5" s="149" t="s">
        <v>52</v>
      </c>
      <c r="E5" s="45"/>
      <c r="F5" s="42"/>
      <c r="G5" s="12">
        <v>0</v>
      </c>
      <c r="H5" s="54">
        <f>E15*G5</f>
        <v>0</v>
      </c>
      <c r="I5" s="16"/>
      <c r="J5" s="107"/>
    </row>
    <row r="6" spans="1:10" ht="20.100000000000001" customHeight="1">
      <c r="B6" s="208"/>
      <c r="C6" s="196" t="s">
        <v>14</v>
      </c>
      <c r="D6" s="198" t="s">
        <v>76</v>
      </c>
      <c r="E6" s="23" t="s">
        <v>16</v>
      </c>
      <c r="F6" s="24" t="s">
        <v>17</v>
      </c>
      <c r="G6" s="12">
        <v>0.15</v>
      </c>
      <c r="H6" s="52">
        <f>E15*G6</f>
        <v>15000</v>
      </c>
      <c r="I6" s="16"/>
      <c r="J6" s="107" t="s">
        <v>18</v>
      </c>
    </row>
    <row r="7" spans="1:10" ht="20.100000000000001" customHeight="1" thickBot="1">
      <c r="B7" s="208"/>
      <c r="C7" s="206"/>
      <c r="D7" s="207"/>
      <c r="E7" s="38" t="s">
        <v>19</v>
      </c>
      <c r="F7" s="39" t="s">
        <v>20</v>
      </c>
      <c r="G7" s="40">
        <v>0.2</v>
      </c>
      <c r="H7" s="53">
        <f>E15*G7</f>
        <v>20000</v>
      </c>
      <c r="I7" s="16"/>
      <c r="J7" s="107" t="s">
        <v>21</v>
      </c>
    </row>
    <row r="8" spans="1:10" ht="20.100000000000001" customHeight="1">
      <c r="B8" s="208"/>
      <c r="C8" s="202" t="s">
        <v>22</v>
      </c>
      <c r="D8" s="198" t="s">
        <v>77</v>
      </c>
      <c r="E8" s="116" t="s">
        <v>24</v>
      </c>
      <c r="F8" s="24" t="s">
        <v>25</v>
      </c>
      <c r="G8" s="12">
        <v>0.1</v>
      </c>
      <c r="H8" s="53">
        <f>E15*G8</f>
        <v>10000</v>
      </c>
      <c r="I8" s="16"/>
      <c r="J8" s="107" t="s">
        <v>26</v>
      </c>
    </row>
    <row r="9" spans="1:10" ht="20.100000000000001" customHeight="1" thickBot="1">
      <c r="B9" s="208"/>
      <c r="C9" s="203"/>
      <c r="D9" s="207"/>
      <c r="E9" s="129" t="s">
        <v>27</v>
      </c>
      <c r="F9" s="46" t="s">
        <v>28</v>
      </c>
      <c r="G9" s="47">
        <v>0.1</v>
      </c>
      <c r="H9" s="53">
        <f>E15*G9</f>
        <v>10000</v>
      </c>
      <c r="I9" s="16"/>
      <c r="J9" s="107" t="s">
        <v>29</v>
      </c>
    </row>
    <row r="10" spans="1:10" ht="20.100000000000001" customHeight="1" thickBot="1">
      <c r="B10" s="209"/>
      <c r="C10" s="25" t="s">
        <v>57</v>
      </c>
      <c r="D10" s="26" t="s">
        <v>13</v>
      </c>
      <c r="E10" s="115" t="s">
        <v>58</v>
      </c>
      <c r="F10" s="28" t="s">
        <v>59</v>
      </c>
      <c r="G10" s="29">
        <v>0.05</v>
      </c>
      <c r="H10" s="56">
        <f>E15*G10</f>
        <v>5000</v>
      </c>
      <c r="I10" s="16"/>
      <c r="J10" s="107" t="s">
        <v>60</v>
      </c>
    </row>
    <row r="11" spans="1:10" ht="20.100000000000001" customHeight="1" thickBot="1">
      <c r="B11" s="20" t="s">
        <v>30</v>
      </c>
      <c r="C11" s="14"/>
      <c r="D11" s="21"/>
      <c r="E11" s="14"/>
      <c r="F11" s="22"/>
      <c r="G11" s="14"/>
      <c r="H11" s="101"/>
      <c r="I11" s="16"/>
      <c r="J11" s="107"/>
    </row>
    <row r="12" spans="1:10" ht="20.100000000000001" customHeight="1" thickBot="1">
      <c r="B12" s="150">
        <v>0.4</v>
      </c>
      <c r="C12" s="154" t="s">
        <v>31</v>
      </c>
      <c r="D12" s="155">
        <v>0.4</v>
      </c>
      <c r="E12" s="23" t="s">
        <v>33</v>
      </c>
      <c r="F12" s="24" t="s">
        <v>34</v>
      </c>
      <c r="G12" s="12">
        <v>0.4</v>
      </c>
      <c r="H12" s="52">
        <f>E15*G12</f>
        <v>40000</v>
      </c>
      <c r="I12" s="16"/>
      <c r="J12" s="107" t="s">
        <v>35</v>
      </c>
    </row>
    <row r="13" spans="1:10" ht="20.100000000000001" customHeight="1" thickBot="1">
      <c r="B13" s="190" t="s">
        <v>48</v>
      </c>
      <c r="C13" s="191"/>
      <c r="D13" s="34"/>
      <c r="E13" s="35"/>
      <c r="F13" s="34"/>
      <c r="G13" s="36">
        <f>SUM(G5:G12)</f>
        <v>1</v>
      </c>
      <c r="H13" s="103">
        <f>SUM(H5:H12)</f>
        <v>100000</v>
      </c>
      <c r="I13" s="16"/>
      <c r="J13" s="107"/>
    </row>
    <row r="14" spans="1:10" ht="20.100000000000001" customHeight="1">
      <c r="B14" s="16"/>
      <c r="C14" s="16"/>
      <c r="D14" s="16"/>
      <c r="E14" s="16"/>
      <c r="F14" s="16"/>
      <c r="G14" s="16"/>
      <c r="H14" s="16"/>
      <c r="I14" s="16"/>
      <c r="J14" s="107"/>
    </row>
    <row r="15" spans="1:10" ht="20.100000000000001" customHeight="1">
      <c r="B15" s="16"/>
      <c r="C15" s="50" t="s">
        <v>49</v>
      </c>
      <c r="D15" s="16"/>
      <c r="E15" s="51">
        <v>100000</v>
      </c>
      <c r="F15" s="16"/>
      <c r="G15" s="16"/>
      <c r="H15" s="16"/>
      <c r="I15" s="16"/>
      <c r="J15" s="16"/>
    </row>
    <row r="16" spans="1:10" ht="20.100000000000001" customHeight="1"/>
    <row r="17" spans="7:7" ht="20.100000000000001" customHeight="1">
      <c r="G17" t="s">
        <v>71</v>
      </c>
    </row>
    <row r="18" spans="7:7" ht="20.100000000000001" customHeight="1"/>
    <row r="19" spans="7:7" ht="20.100000000000001" customHeight="1"/>
    <row r="20" spans="7:7" ht="20.100000000000001" customHeight="1"/>
    <row r="21" spans="7:7" ht="20.100000000000001" customHeight="1"/>
    <row r="22" spans="7:7" ht="20.100000000000001" customHeight="1"/>
    <row r="23" spans="7:7" ht="20.100000000000001" customHeight="1"/>
    <row r="24" spans="7:7" ht="20.100000000000001" customHeight="1"/>
  </sheetData>
  <mergeCells count="8">
    <mergeCell ref="B13:C13"/>
    <mergeCell ref="B1:H2"/>
    <mergeCell ref="B3:E3"/>
    <mergeCell ref="B5:B10"/>
    <mergeCell ref="C6:C7"/>
    <mergeCell ref="D6:D7"/>
    <mergeCell ref="C8:C9"/>
    <mergeCell ref="D8:D9"/>
  </mergeCells>
  <hyperlinks>
    <hyperlink ref="J7" r:id="rId1" xr:uid="{00000000-0004-0000-0600-000000000000}"/>
    <hyperlink ref="J6" r:id="rId2" xr:uid="{00000000-0004-0000-0600-000001000000}"/>
    <hyperlink ref="J8" r:id="rId3" xr:uid="{00000000-0004-0000-0600-000002000000}"/>
    <hyperlink ref="J9" r:id="rId4" xr:uid="{00000000-0004-0000-0600-000003000000}"/>
    <hyperlink ref="J10" r:id="rId5" xr:uid="{00000000-0004-0000-0600-000004000000}"/>
    <hyperlink ref="J12" r:id="rId6" xr:uid="{00000000-0004-0000-0600-000005000000}"/>
  </hyperlinks>
  <pageMargins left="0.7" right="0.7" top="0.75" bottom="0.75" header="0.3" footer="0.3"/>
  <pageSetup paperSize="9" orientation="landscape" r:id="rId7"/>
  <drawing r:id="rId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20"/>
  <sheetViews>
    <sheetView workbookViewId="0">
      <selection activeCell="H24" sqref="H24"/>
    </sheetView>
  </sheetViews>
  <sheetFormatPr defaultColWidth="9.140625" defaultRowHeight="15.75"/>
  <cols>
    <col min="1" max="3" width="9.140625" style="2"/>
    <col min="4" max="4" width="28" style="2" customWidth="1"/>
    <col min="5" max="5" width="14.140625" style="2" customWidth="1"/>
    <col min="6" max="6" width="7.85546875" style="2" customWidth="1"/>
    <col min="7" max="8" width="9.140625" style="2"/>
    <col min="9" max="9" width="24.28515625" style="2" customWidth="1"/>
    <col min="10" max="10" width="13.42578125" style="2" customWidth="1"/>
    <col min="11" max="11" width="15.42578125" style="2" customWidth="1"/>
    <col min="12" max="16384" width="9.140625" style="2"/>
  </cols>
  <sheetData>
    <row r="2" spans="1:11" ht="16.5" thickBot="1">
      <c r="A2" s="224" t="s">
        <v>78</v>
      </c>
      <c r="B2" s="224"/>
      <c r="C2" s="224"/>
      <c r="D2" s="224"/>
      <c r="E2" s="224"/>
      <c r="G2" s="224" t="s">
        <v>78</v>
      </c>
      <c r="H2" s="224"/>
      <c r="I2" s="224"/>
      <c r="J2" s="224"/>
      <c r="K2" s="224"/>
    </row>
    <row r="3" spans="1:11" ht="31.5" customHeight="1">
      <c r="A3" s="222" t="s">
        <v>79</v>
      </c>
      <c r="B3" s="223"/>
      <c r="C3" s="223"/>
      <c r="D3" s="223"/>
      <c r="E3" s="1" t="s">
        <v>80</v>
      </c>
      <c r="G3" s="222" t="s">
        <v>79</v>
      </c>
      <c r="H3" s="223"/>
      <c r="I3" s="223"/>
      <c r="J3" s="223"/>
      <c r="K3" s="1" t="s">
        <v>81</v>
      </c>
    </row>
    <row r="4" spans="1:11">
      <c r="A4" s="212" t="s">
        <v>19</v>
      </c>
      <c r="B4" s="213"/>
      <c r="C4" s="213"/>
      <c r="D4" s="213"/>
      <c r="E4" s="3">
        <v>0.7</v>
      </c>
      <c r="G4" s="212" t="s">
        <v>19</v>
      </c>
      <c r="H4" s="213"/>
      <c r="I4" s="213"/>
      <c r="J4" s="213"/>
      <c r="K4" s="3">
        <v>0.85</v>
      </c>
    </row>
    <row r="5" spans="1:11">
      <c r="A5" s="212" t="s">
        <v>33</v>
      </c>
      <c r="B5" s="213"/>
      <c r="C5" s="213"/>
      <c r="D5" s="213"/>
      <c r="E5" s="3">
        <v>0.15</v>
      </c>
      <c r="G5" s="212" t="s">
        <v>33</v>
      </c>
      <c r="H5" s="213"/>
      <c r="I5" s="213"/>
      <c r="J5" s="213"/>
      <c r="K5" s="3">
        <v>0.1</v>
      </c>
    </row>
    <row r="6" spans="1:11" ht="16.5" thickBot="1">
      <c r="A6" s="217" t="s">
        <v>43</v>
      </c>
      <c r="B6" s="218"/>
      <c r="C6" s="218"/>
      <c r="D6" s="218"/>
      <c r="E6" s="4">
        <v>0.15</v>
      </c>
      <c r="G6" s="217" t="s">
        <v>43</v>
      </c>
      <c r="H6" s="218"/>
      <c r="I6" s="218"/>
      <c r="J6" s="218"/>
      <c r="K6" s="4">
        <v>0.05</v>
      </c>
    </row>
    <row r="7" spans="1:11">
      <c r="E7" s="5"/>
      <c r="K7" s="5"/>
    </row>
    <row r="8" spans="1:11" ht="16.5" thickBot="1">
      <c r="A8" s="224" t="s">
        <v>82</v>
      </c>
      <c r="B8" s="224"/>
      <c r="C8" s="224"/>
      <c r="D8" s="224"/>
      <c r="E8" s="224"/>
      <c r="G8" s="224" t="s">
        <v>82</v>
      </c>
      <c r="H8" s="224"/>
      <c r="I8" s="224"/>
      <c r="J8" s="224"/>
      <c r="K8" s="224"/>
    </row>
    <row r="9" spans="1:11" ht="31.5" customHeight="1" thickBot="1">
      <c r="A9" s="229" t="s">
        <v>79</v>
      </c>
      <c r="B9" s="230"/>
      <c r="C9" s="230"/>
      <c r="D9" s="230"/>
      <c r="E9" s="6" t="s">
        <v>80</v>
      </c>
      <c r="G9" s="222" t="s">
        <v>79</v>
      </c>
      <c r="H9" s="223"/>
      <c r="I9" s="223"/>
      <c r="J9" s="223"/>
      <c r="K9" s="1" t="s">
        <v>81</v>
      </c>
    </row>
    <row r="10" spans="1:11" ht="16.5" thickBot="1">
      <c r="A10" s="225" t="s">
        <v>19</v>
      </c>
      <c r="B10" s="226"/>
      <c r="C10" s="226"/>
      <c r="D10" s="226"/>
      <c r="E10" s="7">
        <v>0.5</v>
      </c>
      <c r="G10" s="212" t="s">
        <v>19</v>
      </c>
      <c r="H10" s="213"/>
      <c r="I10" s="213"/>
      <c r="J10" s="213"/>
      <c r="K10" s="3">
        <v>0.7</v>
      </c>
    </row>
    <row r="11" spans="1:11">
      <c r="A11" s="227" t="s">
        <v>33</v>
      </c>
      <c r="B11" s="228"/>
      <c r="C11" s="228"/>
      <c r="D11" s="228"/>
      <c r="E11" s="8">
        <v>0.25</v>
      </c>
      <c r="G11" s="212" t="s">
        <v>33</v>
      </c>
      <c r="H11" s="213"/>
      <c r="I11" s="213"/>
      <c r="J11" s="213"/>
      <c r="K11" s="3">
        <v>0.2</v>
      </c>
    </row>
    <row r="12" spans="1:11" ht="16.5" thickBot="1">
      <c r="A12" s="214" t="s">
        <v>83</v>
      </c>
      <c r="B12" s="215"/>
      <c r="C12" s="215"/>
      <c r="D12" s="216"/>
      <c r="E12" s="4">
        <v>0.1</v>
      </c>
      <c r="G12" s="217" t="s">
        <v>43</v>
      </c>
      <c r="H12" s="218"/>
      <c r="I12" s="218"/>
      <c r="J12" s="218"/>
      <c r="K12" s="4">
        <v>0.1</v>
      </c>
    </row>
    <row r="13" spans="1:11" ht="16.5" thickBot="1">
      <c r="A13" s="219" t="s">
        <v>43</v>
      </c>
      <c r="B13" s="220"/>
      <c r="C13" s="220"/>
      <c r="D13" s="220"/>
      <c r="E13" s="9">
        <v>0.15</v>
      </c>
      <c r="K13" s="5"/>
    </row>
    <row r="14" spans="1:11">
      <c r="A14" s="10"/>
      <c r="B14" s="10"/>
      <c r="C14" s="10"/>
      <c r="D14" s="10"/>
      <c r="E14" s="11"/>
      <c r="K14" s="5"/>
    </row>
    <row r="15" spans="1:11" ht="33.75" customHeight="1" thickBot="1">
      <c r="A15" s="224" t="s">
        <v>84</v>
      </c>
      <c r="B15" s="224"/>
      <c r="C15" s="224"/>
      <c r="D15" s="224"/>
      <c r="E15" s="224"/>
      <c r="G15" s="224" t="s">
        <v>84</v>
      </c>
      <c r="H15" s="224"/>
      <c r="I15" s="224"/>
      <c r="J15" s="224"/>
      <c r="K15" s="224"/>
    </row>
    <row r="16" spans="1:11" ht="16.5" thickBot="1">
      <c r="A16" s="229" t="s">
        <v>79</v>
      </c>
      <c r="B16" s="230"/>
      <c r="C16" s="230"/>
      <c r="D16" s="230"/>
      <c r="E16" s="6" t="s">
        <v>80</v>
      </c>
      <c r="G16" s="222" t="s">
        <v>79</v>
      </c>
      <c r="H16" s="223"/>
      <c r="I16" s="223"/>
      <c r="J16" s="223"/>
      <c r="K16" s="1" t="s">
        <v>81</v>
      </c>
    </row>
    <row r="17" spans="1:11" ht="16.5" thickBot="1">
      <c r="A17" s="225" t="s">
        <v>19</v>
      </c>
      <c r="B17" s="226"/>
      <c r="C17" s="226"/>
      <c r="D17" s="226"/>
      <c r="E17" s="7">
        <v>0.2</v>
      </c>
      <c r="G17" s="212" t="s">
        <v>19</v>
      </c>
      <c r="H17" s="213"/>
      <c r="I17" s="213"/>
      <c r="J17" s="213"/>
      <c r="K17" s="3">
        <v>0.5</v>
      </c>
    </row>
    <row r="18" spans="1:11">
      <c r="A18" s="227" t="s">
        <v>33</v>
      </c>
      <c r="B18" s="228"/>
      <c r="C18" s="228"/>
      <c r="D18" s="228"/>
      <c r="E18" s="8">
        <v>0.45</v>
      </c>
      <c r="G18" s="212" t="s">
        <v>33</v>
      </c>
      <c r="H18" s="213"/>
      <c r="I18" s="213"/>
      <c r="J18" s="213"/>
      <c r="K18" s="3">
        <v>0.35</v>
      </c>
    </row>
    <row r="19" spans="1:11" ht="16.5" thickBot="1">
      <c r="A19" s="214" t="s">
        <v>83</v>
      </c>
      <c r="B19" s="215"/>
      <c r="C19" s="215"/>
      <c r="D19" s="216"/>
      <c r="E19" s="4">
        <v>0.2</v>
      </c>
      <c r="G19" s="217" t="s">
        <v>43</v>
      </c>
      <c r="H19" s="218"/>
      <c r="I19" s="218"/>
      <c r="J19" s="218"/>
      <c r="K19" s="4">
        <v>0.15</v>
      </c>
    </row>
    <row r="20" spans="1:11" ht="16.5" thickBot="1">
      <c r="A20" s="219" t="s">
        <v>43</v>
      </c>
      <c r="B20" s="220"/>
      <c r="C20" s="220"/>
      <c r="D20" s="220"/>
      <c r="E20" s="9">
        <v>0.15</v>
      </c>
      <c r="G20" s="221"/>
      <c r="H20" s="221"/>
      <c r="I20" s="221"/>
      <c r="J20" s="221"/>
      <c r="K20" s="11"/>
    </row>
  </sheetData>
  <mergeCells count="33">
    <mergeCell ref="A2:E2"/>
    <mergeCell ref="A17:D17"/>
    <mergeCell ref="A18:D18"/>
    <mergeCell ref="A8:E8"/>
    <mergeCell ref="A12:D12"/>
    <mergeCell ref="A16:D16"/>
    <mergeCell ref="A9:D9"/>
    <mergeCell ref="A10:D10"/>
    <mergeCell ref="A11:D11"/>
    <mergeCell ref="A3:D3"/>
    <mergeCell ref="A4:D4"/>
    <mergeCell ref="A5:D5"/>
    <mergeCell ref="A6:D6"/>
    <mergeCell ref="A13:D13"/>
    <mergeCell ref="A15:E15"/>
    <mergeCell ref="G10:J10"/>
    <mergeCell ref="G11:J11"/>
    <mergeCell ref="G17:J17"/>
    <mergeCell ref="G9:J9"/>
    <mergeCell ref="G2:K2"/>
    <mergeCell ref="G3:J3"/>
    <mergeCell ref="G4:J4"/>
    <mergeCell ref="G5:J5"/>
    <mergeCell ref="G6:J6"/>
    <mergeCell ref="G8:K8"/>
    <mergeCell ref="G12:J12"/>
    <mergeCell ref="G15:K15"/>
    <mergeCell ref="G16:J16"/>
    <mergeCell ref="G18:J18"/>
    <mergeCell ref="A19:D19"/>
    <mergeCell ref="G19:J19"/>
    <mergeCell ref="A20:D20"/>
    <mergeCell ref="G20:J20"/>
  </mergeCells>
  <phoneticPr fontId="2" type="noConversion"/>
  <pageMargins left="0.78740157499999996" right="0.78740157499999996" top="0.984251969" bottom="0.984251969" header="0.4921259845" footer="0.4921259845"/>
  <pageSetup paperSize="9" orientation="portrait" horizontalDpi="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3"/>
  <sheetViews>
    <sheetView topLeftCell="A67" zoomScaleNormal="100" workbookViewId="0">
      <selection activeCell="B63" sqref="B63"/>
    </sheetView>
  </sheetViews>
  <sheetFormatPr defaultColWidth="9.140625" defaultRowHeight="15"/>
  <cols>
    <col min="1" max="1" width="44.7109375" style="49" bestFit="1" customWidth="1"/>
    <col min="2" max="2" width="72.85546875" style="49" bestFit="1" customWidth="1"/>
    <col min="3" max="3" width="15.140625" style="49" bestFit="1" customWidth="1"/>
    <col min="4" max="4" width="23.85546875" style="49" customWidth="1"/>
    <col min="5" max="16384" width="9.140625" style="49"/>
  </cols>
  <sheetData>
    <row r="1" spans="1:4" ht="21.75" customHeight="1" thickBot="1">
      <c r="A1" s="187" t="s">
        <v>85</v>
      </c>
      <c r="B1" s="187"/>
      <c r="C1" s="187"/>
      <c r="D1" s="187"/>
    </row>
    <row r="2" spans="1:4" ht="15.75" thickBot="1">
      <c r="A2" s="78" t="s">
        <v>86</v>
      </c>
      <c r="B2" s="79" t="s">
        <v>87</v>
      </c>
      <c r="C2" s="80" t="s">
        <v>7</v>
      </c>
      <c r="D2" s="81"/>
    </row>
    <row r="3" spans="1:4" ht="15.75" thickBot="1">
      <c r="A3" s="63" t="s">
        <v>12</v>
      </c>
      <c r="B3" s="64"/>
      <c r="C3" s="65"/>
      <c r="D3" s="144"/>
    </row>
    <row r="4" spans="1:4">
      <c r="A4" s="233" t="s">
        <v>14</v>
      </c>
      <c r="B4" s="61" t="s">
        <v>88</v>
      </c>
      <c r="C4" s="62" t="s">
        <v>89</v>
      </c>
      <c r="D4" s="160"/>
    </row>
    <row r="5" spans="1:4">
      <c r="A5" s="234"/>
      <c r="B5" s="66" t="s">
        <v>90</v>
      </c>
      <c r="C5" s="67" t="s">
        <v>91</v>
      </c>
      <c r="D5" s="161"/>
    </row>
    <row r="6" spans="1:4">
      <c r="A6" s="235"/>
      <c r="B6" s="95" t="s">
        <v>92</v>
      </c>
      <c r="C6" s="75" t="s">
        <v>93</v>
      </c>
      <c r="D6" s="157"/>
    </row>
    <row r="7" spans="1:4" ht="15.75" thickBot="1">
      <c r="A7" s="235"/>
      <c r="B7" s="68" t="s">
        <v>94</v>
      </c>
      <c r="C7" s="69" t="s">
        <v>95</v>
      </c>
      <c r="D7" s="142"/>
    </row>
    <row r="8" spans="1:4">
      <c r="A8" s="231" t="s">
        <v>22</v>
      </c>
      <c r="B8" s="64" t="s">
        <v>96</v>
      </c>
      <c r="C8" s="65" t="s">
        <v>97</v>
      </c>
      <c r="D8" s="143"/>
    </row>
    <row r="9" spans="1:4" ht="15.75" thickBot="1">
      <c r="A9" s="232"/>
      <c r="B9" s="72" t="s">
        <v>98</v>
      </c>
      <c r="C9" s="73" t="s">
        <v>99</v>
      </c>
      <c r="D9" s="167"/>
    </row>
    <row r="10" spans="1:4">
      <c r="A10" s="234" t="s">
        <v>31</v>
      </c>
      <c r="B10" s="74" t="s">
        <v>100</v>
      </c>
      <c r="C10" s="75" t="s">
        <v>101</v>
      </c>
      <c r="D10" s="157"/>
    </row>
    <row r="11" spans="1:4">
      <c r="A11" s="234"/>
      <c r="B11" s="74" t="s">
        <v>83</v>
      </c>
      <c r="C11" s="75" t="s">
        <v>102</v>
      </c>
      <c r="D11" s="157"/>
    </row>
    <row r="12" spans="1:4">
      <c r="A12" s="234"/>
      <c r="B12" s="74" t="s">
        <v>103</v>
      </c>
      <c r="C12" s="75" t="s">
        <v>104</v>
      </c>
      <c r="D12" s="157"/>
    </row>
    <row r="13" spans="1:4">
      <c r="A13" s="234"/>
      <c r="B13" s="74" t="s">
        <v>105</v>
      </c>
      <c r="C13" s="75" t="s">
        <v>106</v>
      </c>
      <c r="D13" s="157"/>
    </row>
    <row r="14" spans="1:4">
      <c r="A14" s="234"/>
      <c r="B14" s="74" t="s">
        <v>107</v>
      </c>
      <c r="C14" s="75" t="s">
        <v>108</v>
      </c>
      <c r="D14" s="157"/>
    </row>
    <row r="15" spans="1:4">
      <c r="A15" s="234"/>
      <c r="B15" s="74" t="s">
        <v>109</v>
      </c>
      <c r="C15" s="75" t="s">
        <v>110</v>
      </c>
      <c r="D15" s="157"/>
    </row>
    <row r="16" spans="1:4" ht="15.75" thickBot="1">
      <c r="A16" s="236"/>
      <c r="B16" s="76" t="s">
        <v>111</v>
      </c>
      <c r="C16" s="77" t="s">
        <v>112</v>
      </c>
      <c r="D16" s="162"/>
    </row>
    <row r="17" spans="1:4">
      <c r="A17" s="240" t="s">
        <v>67</v>
      </c>
      <c r="B17" s="131" t="s">
        <v>113</v>
      </c>
      <c r="C17" s="132" t="s">
        <v>114</v>
      </c>
      <c r="D17" s="163"/>
    </row>
    <row r="18" spans="1:4">
      <c r="A18" s="240"/>
      <c r="B18" s="70" t="s">
        <v>115</v>
      </c>
      <c r="C18" s="130" t="s">
        <v>116</v>
      </c>
      <c r="D18" s="164"/>
    </row>
    <row r="19" spans="1:4" ht="15.75" thickBot="1">
      <c r="A19" s="241"/>
      <c r="B19" s="131" t="s">
        <v>117</v>
      </c>
      <c r="C19" s="132" t="s">
        <v>118</v>
      </c>
      <c r="D19" s="165"/>
    </row>
    <row r="20" spans="1:4" ht="15.75" thickBot="1">
      <c r="A20" s="59" t="s">
        <v>42</v>
      </c>
      <c r="B20" s="58" t="s">
        <v>119</v>
      </c>
      <c r="C20" s="57" t="s">
        <v>120</v>
      </c>
      <c r="D20" s="166"/>
    </row>
    <row r="21" spans="1:4" ht="15.75" thickBot="1">
      <c r="A21" s="63" t="s">
        <v>46</v>
      </c>
      <c r="B21" s="72"/>
      <c r="C21" s="73"/>
      <c r="D21" s="145"/>
    </row>
    <row r="22" spans="1:4">
      <c r="D22" s="16"/>
    </row>
    <row r="24" spans="1:4" ht="19.5" thickBot="1">
      <c r="A24" s="187" t="s">
        <v>121</v>
      </c>
      <c r="B24" s="187"/>
      <c r="C24" s="187"/>
      <c r="D24" s="187"/>
    </row>
    <row r="25" spans="1:4" ht="15.75" thickBot="1">
      <c r="A25" s="78" t="s">
        <v>86</v>
      </c>
      <c r="B25" s="79" t="s">
        <v>122</v>
      </c>
      <c r="C25" s="80" t="s">
        <v>7</v>
      </c>
      <c r="D25" s="81" t="s">
        <v>123</v>
      </c>
    </row>
    <row r="26" spans="1:4" ht="15.75" thickBot="1">
      <c r="A26" s="63" t="s">
        <v>12</v>
      </c>
      <c r="B26" s="64"/>
      <c r="C26" s="65"/>
      <c r="D26" s="144"/>
    </row>
    <row r="27" spans="1:4">
      <c r="A27" s="233" t="s">
        <v>14</v>
      </c>
      <c r="B27" s="61" t="s">
        <v>88</v>
      </c>
      <c r="C27" s="62" t="s">
        <v>89</v>
      </c>
      <c r="D27" s="160"/>
    </row>
    <row r="28" spans="1:4">
      <c r="A28" s="234"/>
      <c r="B28" s="66" t="s">
        <v>90</v>
      </c>
      <c r="C28" s="67" t="s">
        <v>91</v>
      </c>
      <c r="D28" s="161"/>
    </row>
    <row r="29" spans="1:4">
      <c r="A29" s="235"/>
      <c r="B29" s="95" t="s">
        <v>92</v>
      </c>
      <c r="C29" s="75" t="s">
        <v>93</v>
      </c>
      <c r="D29" s="157"/>
    </row>
    <row r="30" spans="1:4" ht="15.75" thickBot="1">
      <c r="A30" s="236"/>
      <c r="B30" s="68" t="s">
        <v>94</v>
      </c>
      <c r="C30" s="69" t="s">
        <v>95</v>
      </c>
      <c r="D30" s="142"/>
    </row>
    <row r="31" spans="1:4">
      <c r="A31" s="231" t="s">
        <v>22</v>
      </c>
      <c r="B31" s="134" t="s">
        <v>96</v>
      </c>
      <c r="C31" s="65" t="s">
        <v>97</v>
      </c>
      <c r="D31" s="143"/>
    </row>
    <row r="32" spans="1:4" ht="15.75" thickBot="1">
      <c r="A32" s="232"/>
      <c r="B32" s="133" t="s">
        <v>98</v>
      </c>
      <c r="C32" s="73" t="s">
        <v>99</v>
      </c>
      <c r="D32" s="167"/>
    </row>
    <row r="33" spans="1:4">
      <c r="A33" s="237" t="s">
        <v>57</v>
      </c>
      <c r="B33" s="87" t="s">
        <v>124</v>
      </c>
      <c r="C33" s="90" t="s">
        <v>125</v>
      </c>
      <c r="D33" s="168"/>
    </row>
    <row r="34" spans="1:4">
      <c r="A34" s="238"/>
      <c r="B34" s="135" t="s">
        <v>126</v>
      </c>
      <c r="C34" s="136" t="s">
        <v>127</v>
      </c>
      <c r="D34" s="169"/>
    </row>
    <row r="35" spans="1:4">
      <c r="A35" s="238"/>
      <c r="B35" s="135" t="s">
        <v>128</v>
      </c>
      <c r="C35" s="136" t="s">
        <v>129</v>
      </c>
      <c r="D35" s="169"/>
    </row>
    <row r="36" spans="1:4">
      <c r="A36" s="238"/>
      <c r="B36" s="88" t="s">
        <v>130</v>
      </c>
      <c r="C36" s="91" t="s">
        <v>131</v>
      </c>
      <c r="D36" s="170"/>
    </row>
    <row r="37" spans="1:4" ht="15.75" thickBot="1">
      <c r="A37" s="239"/>
      <c r="B37" s="89" t="s">
        <v>132</v>
      </c>
      <c r="C37" s="92" t="s">
        <v>133</v>
      </c>
      <c r="D37" s="171"/>
    </row>
    <row r="38" spans="1:4">
      <c r="A38" s="231" t="s">
        <v>61</v>
      </c>
      <c r="B38" s="174" t="s">
        <v>134</v>
      </c>
      <c r="C38" s="175" t="s">
        <v>135</v>
      </c>
      <c r="D38" s="176"/>
    </row>
    <row r="39" spans="1:4" ht="15.75" thickBot="1">
      <c r="A39" s="232"/>
      <c r="B39" s="93" t="s">
        <v>136</v>
      </c>
      <c r="C39" s="94" t="s">
        <v>137</v>
      </c>
      <c r="D39" s="177"/>
    </row>
    <row r="40" spans="1:4">
      <c r="A40" s="234" t="s">
        <v>31</v>
      </c>
      <c r="B40" s="74" t="s">
        <v>100</v>
      </c>
      <c r="C40" s="75" t="s">
        <v>101</v>
      </c>
      <c r="D40" s="157"/>
    </row>
    <row r="41" spans="1:4">
      <c r="A41" s="234"/>
      <c r="B41" s="74" t="s">
        <v>83</v>
      </c>
      <c r="C41" s="75" t="s">
        <v>102</v>
      </c>
      <c r="D41" s="157"/>
    </row>
    <row r="42" spans="1:4">
      <c r="A42" s="234"/>
      <c r="B42" s="74" t="s">
        <v>105</v>
      </c>
      <c r="C42" s="75" t="s">
        <v>106</v>
      </c>
      <c r="D42" s="157"/>
    </row>
    <row r="43" spans="1:4">
      <c r="A43" s="234"/>
      <c r="B43" s="74" t="s">
        <v>138</v>
      </c>
      <c r="C43" s="75" t="s">
        <v>139</v>
      </c>
      <c r="D43" s="157"/>
    </row>
    <row r="44" spans="1:4">
      <c r="A44" s="234"/>
      <c r="B44" s="74" t="s">
        <v>107</v>
      </c>
      <c r="C44" s="75" t="s">
        <v>108</v>
      </c>
      <c r="D44" s="157"/>
    </row>
    <row r="45" spans="1:4">
      <c r="A45" s="234"/>
      <c r="B45" s="74" t="s">
        <v>109</v>
      </c>
      <c r="C45" s="75" t="s">
        <v>140</v>
      </c>
      <c r="D45" s="157"/>
    </row>
    <row r="46" spans="1:4" ht="15.75" thickBot="1">
      <c r="A46" s="236"/>
      <c r="B46" s="76" t="s">
        <v>111</v>
      </c>
      <c r="C46" s="178" t="s">
        <v>112</v>
      </c>
      <c r="D46" s="162"/>
    </row>
    <row r="47" spans="1:4" ht="15.75" thickBot="1">
      <c r="A47" s="231" t="s">
        <v>39</v>
      </c>
      <c r="B47" s="82" t="s">
        <v>141</v>
      </c>
      <c r="C47" s="65" t="s">
        <v>142</v>
      </c>
      <c r="D47" s="179"/>
    </row>
    <row r="48" spans="1:4">
      <c r="A48" s="242"/>
      <c r="B48" s="131" t="s">
        <v>143</v>
      </c>
      <c r="C48" s="132" t="s">
        <v>144</v>
      </c>
      <c r="D48" s="180"/>
    </row>
    <row r="49" spans="1:4" ht="15.75" thickBot="1">
      <c r="A49" s="242"/>
      <c r="B49" s="70" t="s">
        <v>145</v>
      </c>
      <c r="C49" s="71" t="s">
        <v>146</v>
      </c>
      <c r="D49" s="163"/>
    </row>
    <row r="50" spans="1:4" ht="0.75" customHeight="1">
      <c r="A50" s="237" t="s">
        <v>67</v>
      </c>
      <c r="B50" s="137" t="s">
        <v>147</v>
      </c>
      <c r="C50" s="138" t="s">
        <v>148</v>
      </c>
      <c r="D50" s="147"/>
    </row>
    <row r="51" spans="1:4" ht="15.75" hidden="1" customHeight="1">
      <c r="A51" s="238"/>
      <c r="B51" s="139" t="s">
        <v>113</v>
      </c>
      <c r="C51" s="140" t="s">
        <v>114</v>
      </c>
      <c r="D51" s="148"/>
    </row>
    <row r="52" spans="1:4" ht="15.75" customHeight="1">
      <c r="A52" s="238"/>
      <c r="B52" s="139" t="s">
        <v>113</v>
      </c>
      <c r="C52" s="140" t="s">
        <v>114</v>
      </c>
      <c r="D52" s="172"/>
    </row>
    <row r="53" spans="1:4" ht="15.75" customHeight="1">
      <c r="A53" s="238"/>
      <c r="B53" s="139" t="s">
        <v>115</v>
      </c>
      <c r="C53" s="140" t="s">
        <v>116</v>
      </c>
      <c r="D53" s="172"/>
    </row>
    <row r="54" spans="1:4" ht="15.75" customHeight="1" thickBot="1">
      <c r="A54" s="238"/>
      <c r="B54" s="139" t="s">
        <v>117</v>
      </c>
      <c r="C54" s="140" t="s">
        <v>118</v>
      </c>
      <c r="D54" s="172"/>
    </row>
    <row r="55" spans="1:4" ht="15.75" customHeight="1" thickBot="1">
      <c r="A55" s="63" t="s">
        <v>42</v>
      </c>
      <c r="B55" s="83" t="s">
        <v>119</v>
      </c>
      <c r="C55" s="84" t="s">
        <v>120</v>
      </c>
      <c r="D55" s="166"/>
    </row>
    <row r="56" spans="1:4" ht="15.75" thickBot="1">
      <c r="A56" s="60" t="s">
        <v>46</v>
      </c>
      <c r="B56" s="85"/>
      <c r="C56" s="86"/>
      <c r="D56" s="146"/>
    </row>
    <row r="59" spans="1:4" ht="19.5" thickBot="1">
      <c r="A59" s="187" t="s">
        <v>149</v>
      </c>
      <c r="B59" s="187"/>
      <c r="C59" s="187"/>
      <c r="D59" s="187"/>
    </row>
    <row r="60" spans="1:4" ht="15.75" thickBot="1">
      <c r="A60" s="78" t="s">
        <v>86</v>
      </c>
      <c r="B60" s="79" t="s">
        <v>150</v>
      </c>
      <c r="C60" s="80" t="s">
        <v>7</v>
      </c>
      <c r="D60" s="81" t="s">
        <v>123</v>
      </c>
    </row>
    <row r="61" spans="1:4" ht="15.75" thickBot="1">
      <c r="A61" s="63" t="s">
        <v>12</v>
      </c>
      <c r="B61" s="64"/>
      <c r="C61" s="65"/>
      <c r="D61" s="144"/>
    </row>
    <row r="62" spans="1:4">
      <c r="A62" s="233" t="s">
        <v>14</v>
      </c>
      <c r="B62" s="61" t="s">
        <v>88</v>
      </c>
      <c r="C62" s="62" t="s">
        <v>89</v>
      </c>
      <c r="D62" s="160"/>
    </row>
    <row r="63" spans="1:4">
      <c r="A63" s="234"/>
      <c r="B63" s="66" t="s">
        <v>16</v>
      </c>
      <c r="C63" s="67" t="s">
        <v>17</v>
      </c>
      <c r="D63" s="161"/>
    </row>
    <row r="64" spans="1:4">
      <c r="A64" s="235"/>
      <c r="B64" s="95" t="s">
        <v>92</v>
      </c>
      <c r="C64" s="75" t="s">
        <v>93</v>
      </c>
      <c r="D64" s="157"/>
    </row>
    <row r="65" spans="1:6">
      <c r="A65" s="235"/>
      <c r="B65" s="95" t="s">
        <v>90</v>
      </c>
      <c r="C65" s="75" t="s">
        <v>91</v>
      </c>
      <c r="D65" s="157"/>
    </row>
    <row r="66" spans="1:6" ht="15.75" thickBot="1">
      <c r="A66" s="236"/>
      <c r="B66" s="68" t="s">
        <v>94</v>
      </c>
      <c r="C66" s="69" t="s">
        <v>95</v>
      </c>
      <c r="D66" s="142"/>
    </row>
    <row r="67" spans="1:6">
      <c r="A67" s="231" t="s">
        <v>22</v>
      </c>
      <c r="B67" s="134" t="s">
        <v>96</v>
      </c>
      <c r="C67" s="65" t="s">
        <v>97</v>
      </c>
      <c r="D67" s="143"/>
    </row>
    <row r="68" spans="1:6">
      <c r="A68" s="242"/>
      <c r="B68" s="131" t="s">
        <v>27</v>
      </c>
      <c r="C68" s="132" t="s">
        <v>28</v>
      </c>
      <c r="D68" s="173"/>
    </row>
    <row r="69" spans="1:6" ht="15.75" thickBot="1">
      <c r="A69" s="232"/>
      <c r="B69" s="133" t="s">
        <v>98</v>
      </c>
      <c r="C69" s="73" t="s">
        <v>99</v>
      </c>
      <c r="D69" s="167"/>
    </row>
    <row r="70" spans="1:6">
      <c r="A70" s="237" t="s">
        <v>57</v>
      </c>
      <c r="B70" s="87" t="s">
        <v>124</v>
      </c>
      <c r="C70" s="90" t="s">
        <v>125</v>
      </c>
      <c r="D70" s="168"/>
    </row>
    <row r="71" spans="1:6">
      <c r="A71" s="238"/>
      <c r="B71" s="135" t="s">
        <v>126</v>
      </c>
      <c r="C71" s="136" t="s">
        <v>127</v>
      </c>
      <c r="D71" s="169"/>
      <c r="F71" s="141"/>
    </row>
    <row r="72" spans="1:6">
      <c r="A72" s="238"/>
      <c r="B72" s="135" t="s">
        <v>128</v>
      </c>
      <c r="C72" s="136" t="s">
        <v>129</v>
      </c>
      <c r="D72" s="169"/>
    </row>
    <row r="73" spans="1:6">
      <c r="A73" s="238"/>
      <c r="B73" s="88" t="s">
        <v>130</v>
      </c>
      <c r="C73" s="91" t="s">
        <v>131</v>
      </c>
      <c r="D73" s="170"/>
    </row>
    <row r="74" spans="1:6" ht="15.75" thickBot="1">
      <c r="A74" s="239"/>
      <c r="B74" s="89" t="s">
        <v>132</v>
      </c>
      <c r="C74" s="92" t="s">
        <v>133</v>
      </c>
      <c r="D74" s="171"/>
    </row>
    <row r="75" spans="1:6">
      <c r="A75" s="231" t="s">
        <v>61</v>
      </c>
      <c r="B75" s="174" t="s">
        <v>134</v>
      </c>
      <c r="C75" s="175" t="s">
        <v>135</v>
      </c>
      <c r="D75" s="176"/>
    </row>
    <row r="76" spans="1:6" ht="15.75" thickBot="1">
      <c r="A76" s="232"/>
      <c r="B76" s="93" t="s">
        <v>136</v>
      </c>
      <c r="C76" s="94" t="s">
        <v>137</v>
      </c>
      <c r="D76" s="177"/>
    </row>
    <row r="77" spans="1:6">
      <c r="A77" s="234" t="s">
        <v>31</v>
      </c>
      <c r="B77" s="74" t="s">
        <v>100</v>
      </c>
      <c r="C77" s="75" t="s">
        <v>101</v>
      </c>
      <c r="D77" s="157"/>
    </row>
    <row r="78" spans="1:6">
      <c r="A78" s="234"/>
      <c r="B78" s="74" t="s">
        <v>83</v>
      </c>
      <c r="C78" s="75" t="s">
        <v>102</v>
      </c>
      <c r="D78" s="157"/>
    </row>
    <row r="79" spans="1:6">
      <c r="A79" s="234"/>
      <c r="B79" s="74" t="s">
        <v>105</v>
      </c>
      <c r="C79" s="75" t="s">
        <v>106</v>
      </c>
      <c r="D79" s="157"/>
    </row>
    <row r="80" spans="1:6">
      <c r="A80" s="234"/>
      <c r="B80" s="74" t="s">
        <v>138</v>
      </c>
      <c r="C80" s="75" t="s">
        <v>139</v>
      </c>
      <c r="D80" s="157"/>
    </row>
    <row r="81" spans="1:4">
      <c r="A81" s="234"/>
      <c r="B81" s="74" t="s">
        <v>107</v>
      </c>
      <c r="C81" s="75" t="s">
        <v>108</v>
      </c>
      <c r="D81" s="157"/>
    </row>
    <row r="82" spans="1:4">
      <c r="A82" s="234"/>
      <c r="B82" s="74" t="s">
        <v>109</v>
      </c>
      <c r="C82" s="75" t="s">
        <v>151</v>
      </c>
      <c r="D82" s="157"/>
    </row>
    <row r="83" spans="1:4" ht="15.75" thickBot="1">
      <c r="A83" s="236"/>
      <c r="B83" s="76" t="s">
        <v>111</v>
      </c>
      <c r="C83" s="178" t="s">
        <v>112</v>
      </c>
      <c r="D83" s="162"/>
    </row>
    <row r="84" spans="1:4" ht="15.75" thickBot="1">
      <c r="A84" s="231" t="s">
        <v>39</v>
      </c>
      <c r="B84" s="82" t="s">
        <v>141</v>
      </c>
      <c r="C84" s="65" t="s">
        <v>142</v>
      </c>
      <c r="D84" s="179"/>
    </row>
    <row r="85" spans="1:4">
      <c r="A85" s="242"/>
      <c r="B85" s="131" t="s">
        <v>143</v>
      </c>
      <c r="C85" s="132" t="s">
        <v>144</v>
      </c>
      <c r="D85" s="180"/>
    </row>
    <row r="86" spans="1:4" ht="15.75" thickBot="1">
      <c r="A86" s="242"/>
      <c r="B86" s="70" t="s">
        <v>145</v>
      </c>
      <c r="C86" s="71" t="s">
        <v>146</v>
      </c>
      <c r="D86" s="163"/>
    </row>
    <row r="87" spans="1:4">
      <c r="A87" s="237" t="s">
        <v>67</v>
      </c>
      <c r="B87" s="139" t="s">
        <v>113</v>
      </c>
      <c r="C87" s="140" t="s">
        <v>114</v>
      </c>
      <c r="D87" s="147"/>
    </row>
    <row r="88" spans="1:4">
      <c r="A88" s="238"/>
      <c r="B88" s="139" t="s">
        <v>115</v>
      </c>
      <c r="C88" s="140" t="s">
        <v>116</v>
      </c>
      <c r="D88" s="148"/>
    </row>
    <row r="89" spans="1:4" ht="15" hidden="1" customHeight="1">
      <c r="A89" s="238"/>
      <c r="B89" s="139" t="s">
        <v>117</v>
      </c>
      <c r="C89" s="140" t="s">
        <v>118</v>
      </c>
      <c r="D89" s="172"/>
    </row>
    <row r="90" spans="1:4" ht="15" hidden="1" customHeight="1">
      <c r="A90" s="238"/>
      <c r="B90" s="139" t="s">
        <v>117</v>
      </c>
      <c r="C90" s="140" t="s">
        <v>118</v>
      </c>
      <c r="D90" s="172"/>
    </row>
    <row r="91" spans="1:4" ht="15" customHeight="1" thickBot="1">
      <c r="A91" s="181"/>
      <c r="B91" s="139" t="s">
        <v>117</v>
      </c>
      <c r="C91" s="140" t="s">
        <v>118</v>
      </c>
      <c r="D91" s="184"/>
    </row>
    <row r="92" spans="1:4" ht="15.75" thickBot="1">
      <c r="A92" s="63" t="s">
        <v>42</v>
      </c>
      <c r="B92" s="83" t="s">
        <v>119</v>
      </c>
      <c r="C92" s="84" t="s">
        <v>120</v>
      </c>
      <c r="D92" s="166"/>
    </row>
    <row r="93" spans="1:4" ht="15.75" thickBot="1">
      <c r="A93" s="60" t="s">
        <v>46</v>
      </c>
      <c r="B93" s="85"/>
      <c r="C93" s="86"/>
      <c r="D93" s="146"/>
    </row>
  </sheetData>
  <mergeCells count="21">
    <mergeCell ref="A84:A86"/>
    <mergeCell ref="A87:A90"/>
    <mergeCell ref="A62:A66"/>
    <mergeCell ref="A67:A69"/>
    <mergeCell ref="A70:A74"/>
    <mergeCell ref="A75:A76"/>
    <mergeCell ref="A77:A83"/>
    <mergeCell ref="A38:A39"/>
    <mergeCell ref="A40:A46"/>
    <mergeCell ref="A47:A49"/>
    <mergeCell ref="A50:A54"/>
    <mergeCell ref="A59:D59"/>
    <mergeCell ref="A8:A9"/>
    <mergeCell ref="A27:A30"/>
    <mergeCell ref="A31:A32"/>
    <mergeCell ref="A33:A37"/>
    <mergeCell ref="A1:D1"/>
    <mergeCell ref="A4:A7"/>
    <mergeCell ref="A10:A16"/>
    <mergeCell ref="A17:A19"/>
    <mergeCell ref="A24:D24"/>
  </mergeCells>
  <pageMargins left="0.7" right="0.7" top="0.78740157499999996" bottom="0.78740157499999996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a_x010d_as xmlns="5e6c6bb9-4fdb-4153-b5c2-b1f303e94cd8" xsi:nil="true"/>
    <Datuma_x010d_as1 xmlns="5e6c6bb9-4fdb-4153-b5c2-b1f303e94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F9F53BB494F840ACC92E15957552E0" ma:contentTypeVersion="18" ma:contentTypeDescription="Vytvoří nový dokument" ma:contentTypeScope="" ma:versionID="359982a3d82a5ed7181c267e538befbd">
  <xsd:schema xmlns:xsd="http://www.w3.org/2001/XMLSchema" xmlns:xs="http://www.w3.org/2001/XMLSchema" xmlns:p="http://schemas.microsoft.com/office/2006/metadata/properties" xmlns:ns2="5e6c6bb9-4fdb-4153-b5c2-b1f303e94cd8" xmlns:ns3="b78b7939-5d89-4a97-99ad-a2d42dabfe29" targetNamespace="http://schemas.microsoft.com/office/2006/metadata/properties" ma:root="true" ma:fieldsID="9654c4f9f30244fdd4797a3d45b3b176" ns2:_="" ns3:_="">
    <xsd:import namespace="5e6c6bb9-4fdb-4153-b5c2-b1f303e94cd8"/>
    <xsd:import namespace="b78b7939-5d89-4a97-99ad-a2d42dabf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Datuma_x010d_as" minOccurs="0"/>
                <xsd:element ref="ns2:Datuma_x010d_as1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c6bb9-4fdb-4153-b5c2-b1f303e94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7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DateTaken" ma:index="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Datuma_x010d_as" ma:index="9" nillable="true" ma:displayName="Datum a čas" ma:format="DateOnly" ma:internalName="Datuma_x010d_as" ma:readOnly="false">
      <xsd:simpleType>
        <xsd:restriction base="dms:DateTime"/>
      </xsd:simpleType>
    </xsd:element>
    <xsd:element name="Datuma_x010d_as1" ma:index="10" nillable="true" ma:displayName="Datum a čas 1" ma:format="DateTime" ma:internalName="Datuma_x010d_as1" ma:readOnly="false">
      <xsd:simpleType>
        <xsd:restriction base="dms:DateTim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b7939-5d89-4a97-99ad-a2d42dabf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5AE165-A9E1-4332-9890-5EC6D0351462}"/>
</file>

<file path=customXml/itemProps2.xml><?xml version="1.0" encoding="utf-8"?>
<ds:datastoreItem xmlns:ds="http://schemas.openxmlformats.org/officeDocument/2006/customXml" ds:itemID="{3065091A-BD5B-4C42-B83E-C547C860FA4A}"/>
</file>

<file path=customXml/itemProps3.xml><?xml version="1.0" encoding="utf-8"?>
<ds:datastoreItem xmlns:ds="http://schemas.openxmlformats.org/officeDocument/2006/customXml" ds:itemID="{27912316-DE7D-4EC8-84B4-497B01B488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Česká spořitelna, a.s.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cen35817</dc:creator>
  <cp:keywords/>
  <dc:description/>
  <cp:lastModifiedBy>Nogol Petr</cp:lastModifiedBy>
  <cp:revision/>
  <dcterms:created xsi:type="dcterms:W3CDTF">2011-01-10T13:42:34Z</dcterms:created>
  <dcterms:modified xsi:type="dcterms:W3CDTF">2023-06-13T14:23:13Z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0x010100A6F9F53BB494F840ACC92E15957552E0</vt:lpwstr>
  </property>
  <property fmtid="{D5CDD505-2E9C-101B-9397-08002B2CF9AE}" pid="3" name="MSIP_Label_38939b85-7e40-4a1d-91e1-0e84c3b219d7_Enabled">
    <vt:lpwstr>true</vt:lpwstr>
  </property>
  <property fmtid="{D5CDD505-2E9C-101B-9397-08002B2CF9AE}" pid="4" name="MSIP_Label_38939b85-7e40-4a1d-91e1-0e84c3b219d7_SetDate">
    <vt:lpwstr>2023-06-13T14:22:40Z</vt:lpwstr>
  </property>
  <property fmtid="{D5CDD505-2E9C-101B-9397-08002B2CF9AE}" pid="5" name="MSIP_Label_38939b85-7e40-4a1d-91e1-0e84c3b219d7_Method">
    <vt:lpwstr>Standard</vt:lpwstr>
  </property>
  <property fmtid="{D5CDD505-2E9C-101B-9397-08002B2CF9AE}" pid="6" name="MSIP_Label_38939b85-7e40-4a1d-91e1-0e84c3b219d7_Name">
    <vt:lpwstr>38939b85-7e40-4a1d-91e1-0e84c3b219d7</vt:lpwstr>
  </property>
  <property fmtid="{D5CDD505-2E9C-101B-9397-08002B2CF9AE}" pid="7" name="MSIP_Label_38939b85-7e40-4a1d-91e1-0e84c3b219d7_SiteId">
    <vt:lpwstr>3ad0376a-54d3-49a6-9e20-52de0a92fc89</vt:lpwstr>
  </property>
  <property fmtid="{D5CDD505-2E9C-101B-9397-08002B2CF9AE}" pid="8" name="MSIP_Label_38939b85-7e40-4a1d-91e1-0e84c3b219d7_ActionId">
    <vt:lpwstr>b8545026-5cec-43d9-b360-e34881f66aad</vt:lpwstr>
  </property>
  <property fmtid="{D5CDD505-2E9C-101B-9397-08002B2CF9AE}" pid="9" name="MSIP_Label_38939b85-7e40-4a1d-91e1-0e84c3b219d7_ContentBits">
    <vt:lpwstr>0</vt:lpwstr>
  </property>
</Properties>
</file>